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hub\garandantony-planifRepas\dev\tests\"/>
    </mc:Choice>
  </mc:AlternateContent>
  <bookViews>
    <workbookView xWindow="0" yWindow="0" windowWidth="24000" windowHeight="9630"/>
  </bookViews>
  <sheets>
    <sheet name="Cas" sheetId="1" r:id="rId1"/>
    <sheet name="Instructions" sheetId="2" r:id="rId2"/>
  </sheets>
  <definedNames>
    <definedName name="Date_correction">Cas!$M$7</definedName>
    <definedName name="Date_test">Cas!$H$7</definedName>
    <definedName name="Debut_effacer">Cas!$F$7</definedName>
  </definedNames>
  <calcPr calcId="162913"/>
  <fileRecoveryPr repairLoad="1"/>
</workbook>
</file>

<file path=xl/calcChain.xml><?xml version="1.0" encoding="utf-8"?>
<calcChain xmlns="http://schemas.openxmlformats.org/spreadsheetml/2006/main">
  <c r="B5" i="1" l="1"/>
  <c r="G2" i="1" l="1"/>
  <c r="G3" i="1"/>
  <c r="G4" i="1" s="1"/>
</calcChain>
</file>

<file path=xl/sharedStrings.xml><?xml version="1.0" encoding="utf-8"?>
<sst xmlns="http://schemas.openxmlformats.org/spreadsheetml/2006/main" count="247" uniqueCount="138">
  <si>
    <t>Score :</t>
  </si>
  <si>
    <t>X dev</t>
  </si>
  <si>
    <t>Corrections initiales :</t>
  </si>
  <si>
    <t>Reste à corriger :</t>
  </si>
  <si>
    <t>Impr.
écran
?</t>
  </si>
  <si>
    <t>Corr. par</t>
  </si>
  <si>
    <t>Nom-Commentaires</t>
  </si>
  <si>
    <t>Date correction</t>
  </si>
  <si>
    <t>Généralités</t>
  </si>
  <si>
    <t>Résultat attendu</t>
  </si>
  <si>
    <t>Testé par</t>
  </si>
  <si>
    <t>Cas d'essai</t>
  </si>
  <si>
    <t>Date test</t>
  </si>
  <si>
    <t>FIN</t>
  </si>
  <si>
    <t>Tests fonctionnels</t>
  </si>
  <si>
    <r>
      <t xml:space="preserve">Résultat obtenu
</t>
    </r>
    <r>
      <rPr>
        <sz val="9"/>
        <color indexed="9"/>
        <rFont val="Arial"/>
        <family val="2"/>
      </rPr>
      <t>("ok", "na" pour non applicable ou description du problème)</t>
    </r>
  </si>
  <si>
    <r>
      <t xml:space="preserve">Gravité 
</t>
    </r>
    <r>
      <rPr>
        <sz val="8"/>
        <color indexed="9"/>
        <rFont val="Arial"/>
        <family val="2"/>
      </rPr>
      <t>1-essent.
2-import.
3-utile</t>
    </r>
  </si>
  <si>
    <t>Accès aux données</t>
  </si>
  <si>
    <r>
      <rPr>
        <sz val="8"/>
        <color theme="0"/>
        <rFont val="Arial"/>
        <family val="2"/>
      </rPr>
      <t>Chq ligne doit avoir un no pour le tri</t>
    </r>
    <r>
      <rPr>
        <b/>
        <sz val="10"/>
        <color theme="0"/>
        <rFont val="Arial"/>
        <family val="2"/>
      </rPr>
      <t xml:space="preserve">
# cas</t>
    </r>
  </si>
  <si>
    <t>Utilisation du chiffrier de tests fonctionnels</t>
  </si>
  <si>
    <t>1.</t>
  </si>
  <si>
    <t>2.</t>
  </si>
  <si>
    <t>3.</t>
  </si>
  <si>
    <t xml:space="preserve">Quand le développement est complété, le responsable de la qualité reprend le chiffrier et refait les tests. </t>
  </si>
  <si>
    <t>Les développeurs partagent un seul et même fichier.</t>
  </si>
  <si>
    <t>Au besoin, ils ajoutent des cas d'essais.</t>
  </si>
  <si>
    <t>Il remet ensuite le chiffrier aux développeurs.</t>
  </si>
  <si>
    <t>4.</t>
  </si>
  <si>
    <t>Il peut entrer un niveau de gravité pour permettre aux développeurs de prioriser les corrections qu'ils effectueront.</t>
  </si>
  <si>
    <t>Il peut entrer un code pour identifier le métier touché par le cas d'essai (ex : intégrateur ou programmeur). Cette colonne peut également servir à identifier une équipe de travail.</t>
  </si>
  <si>
    <t>Le nombre de cas d'essais réussis par rapport au nombre de cas d'essais total donne le score en haut du chiffrier.</t>
  </si>
  <si>
    <t>Le développeur qui doit effectuer des corrections peut trier le chiffrier selon son métier ou selon la priorité pour retrouver plus rapidement ce qu'il doit faire.</t>
  </si>
  <si>
    <r>
      <t xml:space="preserve">Métier
</t>
    </r>
    <r>
      <rPr>
        <sz val="8"/>
        <color indexed="9"/>
        <rFont val="Arial"/>
        <family val="2"/>
      </rPr>
      <t>p-prog
i-intégr
g-graph</t>
    </r>
  </si>
  <si>
    <t>Menu principal</t>
  </si>
  <si>
    <t>Feuilles de style</t>
  </si>
  <si>
    <t>Reconnaissance de la feuille de style</t>
  </si>
  <si>
    <t>Feuille de style en impression</t>
  </si>
  <si>
    <t>Validité du CSS</t>
  </si>
  <si>
    <t>Test différents navigateurs</t>
  </si>
  <si>
    <t>Le site s'affiche correctement c.-à-d. qu'il lit correctement la feuille de style.</t>
  </si>
  <si>
    <t>Validité du HTML</t>
  </si>
  <si>
    <t>Structure des dossiers</t>
  </si>
  <si>
    <t>Apparence générale</t>
  </si>
  <si>
    <t>Français correct</t>
  </si>
  <si>
    <t xml:space="preserve">	Le site ne présente aucun texte anglais sauf si c'est pertinent dans le contexte particulier du site.</t>
  </si>
  <si>
    <t>Les scripts SQL pour recréer les tables sont présents dans le dossier dev.</t>
  </si>
  <si>
    <t>Clic</t>
  </si>
  <si>
    <t>Un clic sur une option du menu principal affiche une page Web et ce, même si l'option de menu possède un sous-menu.</t>
  </si>
  <si>
    <t>Nom de la BD</t>
  </si>
  <si>
    <t>Le code HTML généré passe le test du W3C validator.</t>
  </si>
  <si>
    <t>La feuille de style passe le test du CSS validator.</t>
  </si>
  <si>
    <t>Les options du menu principal ne sont pas soulignées et ne sont pas précédées d'une puce à moins qu'il s'agisse d'une puce stylisée (donc le CSS contrôle correctement l'affichage du menu).</t>
  </si>
  <si>
    <t>Copie de sécurité des données</t>
  </si>
  <si>
    <t xml:space="preserve">	Tout le texte du site Web (contenu des pages, noms de boutons, options de menu, alt et title des images, etc.) est exempt de fautes de français.</t>
  </si>
  <si>
    <t>Le site Web est bien affiché sur la dernière version de IE, sur la dernière version de Chrome ainsi que sur la dernière version de FireFox.</t>
  </si>
  <si>
    <t>Le dossier du site Web est placé sous le localweb de EasyPHP.</t>
  </si>
  <si>
    <t>Fichiers originaux</t>
  </si>
  <si>
    <t>Présence de tous les éléments demandés</t>
  </si>
  <si>
    <t>Le menu donne accès à tout ce qui a été demandé.</t>
  </si>
  <si>
    <t>Apparence du formulaire</t>
  </si>
  <si>
    <t>Le nom du projet est clairement indiqué dans la cellule A2.</t>
  </si>
  <si>
    <r>
      <t xml:space="preserve">Version à tester
</t>
    </r>
    <r>
      <rPr>
        <sz val="8"/>
        <color theme="0"/>
        <rFont val="Arial"/>
        <family val="2"/>
      </rPr>
      <t>1-en dév. (local)
2-en dév. (en ligne)
3-en prod.</t>
    </r>
  </si>
  <si>
    <t>5.</t>
  </si>
  <si>
    <t>admin :</t>
  </si>
  <si>
    <t>normal :</t>
  </si>
  <si>
    <t>URL dév. :</t>
  </si>
  <si>
    <t>URL prod. :</t>
  </si>
  <si>
    <t xml:space="preserve">Avant le début du développement, l'analyste remplit les colonnes « Cas d'essai » et « Résultat attendu ». </t>
  </si>
  <si>
    <t>Il peut arriver que certains cas d'essais ne s'appliquent qu'à une version du site.  À ce moment, il inscrit le code correspondant dans la colonne « Version à tester ».</t>
  </si>
  <si>
    <t xml:space="preserve">Les cases colorées dans l'entête de la feuille « Cas » doit être correctement remplies : </t>
  </si>
  <si>
    <t xml:space="preserve">code d'usager et mot de passe admin (en dév.), </t>
  </si>
  <si>
    <t>code d'usager et mot de passe d'un usager normal (en dév.).</t>
  </si>
  <si>
    <t xml:space="preserve">nom du projet, </t>
  </si>
  <si>
    <t xml:space="preserve">URL du site en développement et en production, </t>
  </si>
  <si>
    <t>Il remet ensuite le fichier aux développeurs.</t>
  </si>
  <si>
    <t>Si la grille comprend déjà des cas d'essais et que certains ne s'appliquent pas au projet en cours, il entre « na » dans la colonne « Résultat obtenu ». La ligne devient grisée et n'est pas prise en compte dans les calculs du score.</t>
  </si>
  <si>
    <t xml:space="preserve">Pour chaque test fait pendant le développement, chacun entre un X dans la colonne « X dev ». </t>
  </si>
  <si>
    <t>Dans la colonne "Résultat obtenu", il inscrit « ok » si le test a réussi.</t>
  </si>
  <si>
    <t>Si le test a échoué, il décrit le problème dans la colonne « Résultat obtenu ».</t>
  </si>
  <si>
    <t>Il peut également ajouter des impressions d'écran dans un autre onglet du chiffrier et y référer à l'aide d'un code à son choix entré dans la colonne « Imp. Ecran? ».</t>
  </si>
  <si>
    <t>Il entre ensuite ses initiales dans la colonne « Testé par ». Les cas d'essais qui ne sont pas marqués par « ok » ni par « na » seront mis en couleur.</t>
  </si>
  <si>
    <t>Il effectue les corrections et entre au besoin ses commentaires dans la colonne « Nom-commentaire ». Il ne modifie pas la colonne « Résultat obtenu ».</t>
  </si>
  <si>
    <t>Il entre ensuite ses initiales dans la colonne « Corr. Par ». Les lignes en couleur redeviennent normales.</t>
  </si>
  <si>
    <t xml:space="preserve">Quand toutes ses corrections de la journée sont complétées, il peut cliquer sur le bouton « Date du jour » au-dessus de la colonne « Date correction ». </t>
  </si>
  <si>
    <t>La date du jour sera entrée sur chaque ligne dont la date de correction est vide et qui comporte des initiales de correcteur.</t>
  </si>
  <si>
    <t>La date du jour sera entrée sur chaque ligne dont la date de test est vide et qui comporte des initiales de testeur.</t>
  </si>
  <si>
    <t>Une fois tous les tests complétés, il peut cliquer sur le bouton « Cacher ok » pour ne montrer que les cas d'essais en problème et les cas d'essais pour lesquels un test n'aurait pas encore été fait.</t>
  </si>
  <si>
    <t xml:space="preserve">Quand tous ses tests d'une journée sont complétés, il peut cliquer sur le bouton « Date du jour » au-dessus de la colonne « Date test ». </t>
  </si>
  <si>
    <t>Le chiffrier prévoit la renumérotation dles cas d'essais à la suite d'ajout de lignes grâce à la fonctionnalité de série de données :</t>
  </si>
  <si>
    <t xml:space="preserve">Prenez en bloc les deux premières cellules de la colonne A d'une section (ex : 070.010 et 070.020) puis faites glisser le coin inférieur droit jusqu'à la dernière ligne de la section, toujours dans la colonne A. </t>
  </si>
  <si>
    <t xml:space="preserve">Les numéros seront automatiquement réajustés. </t>
  </si>
  <si>
    <t>Le nom du dossier contenant le site Web est sous la forme nomprenom-nomsignificatif. Il est entièrement en minuscules, utilise un trait d'union (et non un soulignement) et le nom est placé avant le prénom.</t>
  </si>
  <si>
    <t>Maquette</t>
  </si>
  <si>
    <t>L'apparence de la maquette est agréable.</t>
  </si>
  <si>
    <t>Les fichiers originaux de la maquette sont présents dans le dossier dev du site Web (fichier .zip).</t>
  </si>
  <si>
    <t>Lors de l'impression du site Web, les menus ne sont pas imprimés.</t>
  </si>
  <si>
    <t xml:space="preserve">	Des scripts ont été créés pour permettre de recréer les tables, d'y insérer les données et de mettre en place les contraintes d'intégrité référentielle.</t>
  </si>
  <si>
    <t>Les champs obligatoires sont précédés d'un astérisque.</t>
  </si>
  <si>
    <t>La page réagit côté client lorsqu'une information obligatoire n'est pas entrée dans le formulaire.</t>
  </si>
  <si>
    <t>Validité</t>
  </si>
  <si>
    <t>Il n'est pas possible d'entrer une chaîne plus longue que ce que la base de données prévoit.</t>
  </si>
  <si>
    <t>Informations saisies</t>
  </si>
  <si>
    <t>Enregistrement</t>
  </si>
  <si>
    <t>Les informations saisies à l'écran sont correctement enregistrées.</t>
  </si>
  <si>
    <t>La présence d'apostrophes dans une chaîne de caractères ne nuit pas à l'enregistrement.</t>
  </si>
  <si>
    <t>Les caractères potentiellement dangereux sont correctement encodés dans la base de données (&lt; encodé en &amp;lt;)</t>
  </si>
  <si>
    <t>Sécurité des données</t>
  </si>
  <si>
    <t>L'usager est correctement informé de la réussite ou non de l'enregistrement.</t>
  </si>
  <si>
    <t>Les messages à l'usager ne sont pas techniques.</t>
  </si>
  <si>
    <t>Branchement à la BD</t>
  </si>
  <si>
    <t>Les informations pour se brancher à la BD n'apparaissent qu'à un seul endroit dans tout le code du site Web.</t>
  </si>
  <si>
    <t>Si la connexion à la BD échoue, aucun messge technique n'apparaît à l'écran. Le site affiche un message clair avec les accents bien encodés.</t>
  </si>
  <si>
    <t>Le nom de la base de données est sous la forme monmenu_gagnonannie</t>
  </si>
  <si>
    <t>Le formulaire d'ajout est bien aligné.</t>
  </si>
  <si>
    <t>Formulaire d'ajout</t>
  </si>
  <si>
    <t>na</t>
  </si>
  <si>
    <t>Les informations qui peuvent être trouvées par le programme ne sont pas saisie dans le formulaire.</t>
  </si>
  <si>
    <t>Projet MealPlanner</t>
  </si>
  <si>
    <t>SQL</t>
  </si>
  <si>
    <t>root</t>
  </si>
  <si>
    <t>password</t>
  </si>
  <si>
    <t>127.0.0.1:81/site</t>
  </si>
  <si>
    <t>ok</t>
  </si>
  <si>
    <t>X</t>
  </si>
  <si>
    <t>x</t>
  </si>
  <si>
    <t>Antony - Tout est obligatoire</t>
  </si>
  <si>
    <t>ap</t>
  </si>
  <si>
    <t>Suppression fonctionnel</t>
  </si>
  <si>
    <t>Popup réagis bien</t>
  </si>
  <si>
    <t>Validation côté serveur (Grandeur et type)</t>
  </si>
  <si>
    <t>Supprimer un objet lors de l'affichage du menu le supprime de la base de donnée et du tableau</t>
  </si>
  <si>
    <t>Sélectionner "Oui" supprime l'item, sélectionner "Non" ou appuyer sur "X" annule l'aciton</t>
  </si>
  <si>
    <t>Entrer une variable trop longue et désactiver la vérification côté affiche un erreur</t>
  </si>
  <si>
    <t>Cas autres</t>
  </si>
  <si>
    <t>Ne pas envoyer un champ</t>
  </si>
  <si>
    <t>ne pas envoyer un champ renvoies une erreur</t>
  </si>
  <si>
    <t>Bouton dans affichage du menu</t>
  </si>
  <si>
    <t>Un bouton est présent pour rediriger l'utilisateur vers la page d'ajout de menu lorsqu'il consulte la page avec les recettes actuellement ajoutées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</si>
</sst>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C0C]d\ mmm\ yyyy;@"/>
    <numFmt numFmtId="165" formatCode="000\.000"/>
  </numFmts>
  <fonts count="14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sz val="9"/>
      <color indexed="9"/>
      <name val="Arial"/>
      <family val="2"/>
    </font>
    <font>
      <sz val="8"/>
      <color indexed="9"/>
      <name val="Arial"/>
      <family val="2"/>
    </font>
    <font>
      <b/>
      <sz val="10"/>
      <color theme="0"/>
      <name val="Arial"/>
      <family val="2"/>
    </font>
    <font>
      <sz val="8"/>
      <color theme="0"/>
      <name val="Arial"/>
      <family val="2"/>
    </font>
    <font>
      <b/>
      <sz val="12"/>
      <color theme="6" tint="-0.499984740745262"/>
      <name val="Arial"/>
      <family val="2"/>
    </font>
    <font>
      <sz val="10"/>
      <color theme="6" tint="-0.499984740745262"/>
      <name val="Arial"/>
      <family val="2"/>
    </font>
    <font>
      <sz val="9"/>
      <color rgb="FF000000"/>
      <name val="Arial"/>
      <family val="2"/>
    </font>
    <font>
      <b/>
      <sz val="10"/>
      <color theme="6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rgb="FFF0EEE5"/>
        <bgColor indexed="64"/>
      </patternFill>
    </fill>
  </fills>
  <borders count="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/>
      <top style="thin">
        <color theme="2" tint="-9.9948118533890809E-2"/>
      </top>
      <bottom style="thin">
        <color theme="2" tint="-9.9948118533890809E-2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8">
    <xf numFmtId="0" fontId="0" fillId="0" borderId="0" xfId="0"/>
    <xf numFmtId="0" fontId="3" fillId="0" borderId="0" xfId="0" applyFont="1" applyAlignment="1">
      <alignment wrapText="1"/>
    </xf>
    <xf numFmtId="0" fontId="0" fillId="0" borderId="1" xfId="0" applyBorder="1" applyAlignment="1">
      <alignment vertical="top" wrapText="1"/>
    </xf>
    <xf numFmtId="164" fontId="0" fillId="0" borderId="0" xfId="0" applyNumberFormat="1" applyAlignment="1">
      <alignment horizontal="left"/>
    </xf>
    <xf numFmtId="0" fontId="0" fillId="0" borderId="0" xfId="0" applyAlignment="1">
      <alignment wrapText="1"/>
    </xf>
    <xf numFmtId="0" fontId="0" fillId="0" borderId="0" xfId="0" applyNumberFormat="1" applyAlignment="1">
      <alignment horizontal="left"/>
    </xf>
    <xf numFmtId="164" fontId="0" fillId="0" borderId="1" xfId="0" applyNumberFormat="1" applyBorder="1" applyAlignment="1">
      <alignment vertical="top" wrapText="1"/>
    </xf>
    <xf numFmtId="9" fontId="4" fillId="0" borderId="0" xfId="1" applyFont="1" applyAlignment="1">
      <alignment horizontal="left"/>
    </xf>
    <xf numFmtId="0" fontId="0" fillId="0" borderId="0" xfId="1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top" wrapText="1"/>
    </xf>
    <xf numFmtId="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0" applyFont="1"/>
    <xf numFmtId="0" fontId="8" fillId="2" borderId="1" xfId="0" applyFont="1" applyFill="1" applyBorder="1" applyAlignment="1">
      <alignment wrapText="1"/>
    </xf>
    <xf numFmtId="0" fontId="8" fillId="2" borderId="1" xfId="0" applyFont="1" applyFill="1" applyBorder="1" applyAlignment="1">
      <alignment vertical="center" textRotation="180" wrapText="1"/>
    </xf>
    <xf numFmtId="0" fontId="8" fillId="2" borderId="1" xfId="0" applyFont="1" applyFill="1" applyBorder="1" applyAlignment="1">
      <alignment horizontal="center" wrapText="1"/>
    </xf>
    <xf numFmtId="164" fontId="8" fillId="2" borderId="1" xfId="0" applyNumberFormat="1" applyFont="1" applyFill="1" applyBorder="1" applyAlignment="1">
      <alignment horizontal="left" wrapText="1"/>
    </xf>
    <xf numFmtId="0" fontId="8" fillId="2" borderId="1" xfId="0" applyNumberFormat="1" applyFont="1" applyFill="1" applyBorder="1" applyAlignment="1">
      <alignment horizontal="left" wrapText="1"/>
    </xf>
    <xf numFmtId="0" fontId="8" fillId="2" borderId="1" xfId="0" applyNumberFormat="1" applyFont="1" applyFill="1" applyBorder="1" applyAlignment="1">
      <alignment horizontal="center" wrapText="1"/>
    </xf>
    <xf numFmtId="164" fontId="8" fillId="2" borderId="1" xfId="0" applyNumberFormat="1" applyFont="1" applyFill="1" applyBorder="1" applyAlignment="1">
      <alignment horizontal="center" wrapText="1"/>
    </xf>
    <xf numFmtId="0" fontId="5" fillId="0" borderId="1" xfId="0" applyFont="1" applyBorder="1" applyAlignment="1">
      <alignment vertical="top" wrapText="1"/>
    </xf>
    <xf numFmtId="0" fontId="5" fillId="0" borderId="1" xfId="0" applyFont="1" applyBorder="1" applyAlignment="1">
      <alignment horizontal="center" vertical="top" wrapText="1"/>
    </xf>
    <xf numFmtId="0" fontId="4" fillId="0" borderId="0" xfId="0" applyFont="1" applyAlignment="1">
      <alignment horizontal="left"/>
    </xf>
    <xf numFmtId="0" fontId="10" fillId="0" borderId="0" xfId="0" applyFont="1"/>
    <xf numFmtId="0" fontId="11" fillId="0" borderId="0" xfId="0" applyFont="1" applyAlignment="1">
      <alignment wrapText="1"/>
    </xf>
    <xf numFmtId="0" fontId="1" fillId="0" borderId="0" xfId="0" applyFont="1"/>
    <xf numFmtId="0" fontId="1" fillId="0" borderId="1" xfId="0" applyFont="1" applyBorder="1" applyAlignment="1">
      <alignment vertical="top" wrapText="1"/>
    </xf>
    <xf numFmtId="0" fontId="1" fillId="0" borderId="1" xfId="0" applyFont="1" applyBorder="1" applyAlignment="1">
      <alignment horizontal="center" vertical="top" wrapText="1"/>
    </xf>
    <xf numFmtId="165" fontId="5" fillId="0" borderId="1" xfId="0" applyNumberFormat="1" applyFont="1" applyBorder="1" applyAlignment="1">
      <alignment horizontal="left" vertical="top" wrapText="1"/>
    </xf>
    <xf numFmtId="165" fontId="1" fillId="0" borderId="1" xfId="0" applyNumberFormat="1" applyFont="1" applyBorder="1" applyAlignment="1">
      <alignment vertical="top" wrapText="1"/>
    </xf>
    <xf numFmtId="0" fontId="1" fillId="0" borderId="1" xfId="0" applyNumberFormat="1" applyFont="1" applyBorder="1" applyAlignment="1">
      <alignment vertical="top" wrapText="1"/>
    </xf>
    <xf numFmtId="0" fontId="4" fillId="0" borderId="0" xfId="0" applyFont="1" applyAlignment="1">
      <alignment horizontal="right"/>
    </xf>
    <xf numFmtId="0" fontId="4" fillId="0" borderId="0" xfId="1" applyNumberFormat="1" applyFont="1" applyAlignment="1">
      <alignment horizontal="right"/>
    </xf>
    <xf numFmtId="0" fontId="0" fillId="0" borderId="0" xfId="0" applyAlignment="1">
      <alignment horizontal="center" wrapText="1"/>
    </xf>
    <xf numFmtId="0" fontId="0" fillId="0" borderId="0" xfId="0" applyAlignment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applyAlignment="1">
      <alignment horizontal="right" wrapText="1"/>
    </xf>
    <xf numFmtId="0" fontId="0" fillId="0" borderId="2" xfId="0" applyBorder="1" applyAlignment="1"/>
    <xf numFmtId="0" fontId="0" fillId="0" borderId="2" xfId="0" applyBorder="1" applyAlignment="1">
      <alignment horizontal="left"/>
    </xf>
    <xf numFmtId="0" fontId="1" fillId="3" borderId="3" xfId="0" applyFont="1" applyFill="1" applyBorder="1" applyAlignment="1">
      <alignment horizontal="left"/>
    </xf>
    <xf numFmtId="0" fontId="10" fillId="0" borderId="0" xfId="0" applyFont="1" applyAlignment="1">
      <alignment vertical="center"/>
    </xf>
    <xf numFmtId="0" fontId="1" fillId="0" borderId="0" xfId="0" applyFont="1" applyAlignment="1">
      <alignment horizontal="left" indent="1"/>
    </xf>
    <xf numFmtId="0" fontId="1" fillId="0" borderId="0" xfId="0" applyFont="1" applyAlignment="1">
      <alignment horizontal="center"/>
    </xf>
    <xf numFmtId="164" fontId="1" fillId="0" borderId="1" xfId="0" applyNumberFormat="1" applyFont="1" applyBorder="1" applyAlignment="1">
      <alignment vertical="top" wrapText="1"/>
    </xf>
    <xf numFmtId="0" fontId="13" fillId="3" borderId="4" xfId="0" applyFont="1" applyFill="1" applyBorder="1" applyAlignment="1">
      <alignment horizontal="left"/>
    </xf>
    <xf numFmtId="0" fontId="13" fillId="3" borderId="5" xfId="0" applyFont="1" applyFill="1" applyBorder="1" applyAlignment="1">
      <alignment horizontal="left"/>
    </xf>
  </cellXfs>
  <cellStyles count="2">
    <cellStyle name="Normal" xfId="0" builtinId="0"/>
    <cellStyle name="Pourcentage" xfId="1" builtinId="5"/>
  </cellStyles>
  <dxfs count="9"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color indexed="22"/>
      </font>
    </dxf>
    <dxf>
      <fill>
        <patternFill>
          <bgColor theme="5" tint="0.39994506668294322"/>
        </patternFill>
      </fill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color indexed="22"/>
      </font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ill>
        <patternFill>
          <bgColor theme="5" tint="0.39994506668294322"/>
        </patternFill>
      </fill>
    </dxf>
    <dxf>
      <font>
        <strike val="0"/>
        <condense val="0"/>
        <extend val="0"/>
        <color indexed="22"/>
      </font>
    </dxf>
    <dxf>
      <fill>
        <patternFill>
          <bgColor theme="5" tint="0.39994506668294322"/>
        </patternFill>
      </fill>
    </dxf>
  </dxfs>
  <tableStyles count="0" defaultTableStyle="TableStyleMedium9" defaultPivotStyle="PivotStyleLight16"/>
  <colors>
    <mruColors>
      <color rgb="FFF0EEE5"/>
      <color rgb="FFFFFF66"/>
      <color rgb="FFB4C604"/>
      <color rgb="FF9FA3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6</xdr:row>
          <xdr:rowOff>57150</xdr:rowOff>
        </xdr:from>
        <xdr:to>
          <xdr:col>7</xdr:col>
          <xdr:colOff>800100</xdr:colOff>
          <xdr:row>6</xdr:row>
          <xdr:rowOff>257175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 du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6</xdr:row>
          <xdr:rowOff>304800</xdr:rowOff>
        </xdr:from>
        <xdr:to>
          <xdr:col>12</xdr:col>
          <xdr:colOff>800100</xdr:colOff>
          <xdr:row>6</xdr:row>
          <xdr:rowOff>504825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 du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57150</xdr:rowOff>
        </xdr:from>
        <xdr:to>
          <xdr:col>5</xdr:col>
          <xdr:colOff>790575</xdr:colOff>
          <xdr:row>6</xdr:row>
          <xdr:rowOff>257175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Cacher 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6</xdr:row>
          <xdr:rowOff>57150</xdr:rowOff>
        </xdr:from>
        <xdr:to>
          <xdr:col>5</xdr:col>
          <xdr:colOff>1581150</xdr:colOff>
          <xdr:row>6</xdr:row>
          <xdr:rowOff>257175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Afficher tout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6</xdr:row>
          <xdr:rowOff>57150</xdr:rowOff>
        </xdr:from>
        <xdr:to>
          <xdr:col>0</xdr:col>
          <xdr:colOff>476250</xdr:colOff>
          <xdr:row>6</xdr:row>
          <xdr:rowOff>266700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6</xdr:row>
          <xdr:rowOff>57150</xdr:rowOff>
        </xdr:from>
        <xdr:to>
          <xdr:col>9</xdr:col>
          <xdr:colOff>457200</xdr:colOff>
          <xdr:row>6</xdr:row>
          <xdr:rowOff>266700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6</xdr:row>
          <xdr:rowOff>57150</xdr:rowOff>
        </xdr:from>
        <xdr:to>
          <xdr:col>12</xdr:col>
          <xdr:colOff>800100</xdr:colOff>
          <xdr:row>6</xdr:row>
          <xdr:rowOff>266700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6</xdr:row>
          <xdr:rowOff>57150</xdr:rowOff>
        </xdr:from>
        <xdr:to>
          <xdr:col>10</xdr:col>
          <xdr:colOff>400050</xdr:colOff>
          <xdr:row>6</xdr:row>
          <xdr:rowOff>266700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N558"/>
  <sheetViews>
    <sheetView tabSelected="1" zoomScaleNormal="100" workbookViewId="0">
      <pane ySplit="7" topLeftCell="A48" activePane="bottomLeft" state="frozen"/>
      <selection pane="bottomLeft" activeCell="F53" sqref="F53"/>
    </sheetView>
  </sheetViews>
  <sheetFormatPr baseColWidth="10" defaultRowHeight="12.75" x14ac:dyDescent="0.2"/>
  <cols>
    <col min="1" max="1" width="10.140625" customWidth="1"/>
    <col min="2" max="2" width="29.28515625" style="4" customWidth="1"/>
    <col min="3" max="3" width="8.140625" style="34" customWidth="1"/>
    <col min="4" max="4" width="35.7109375" customWidth="1"/>
    <col min="5" max="5" width="3" customWidth="1"/>
    <col min="6" max="6" width="27.85546875" customWidth="1"/>
    <col min="7" max="7" width="6.140625" style="9" customWidth="1"/>
    <col min="8" max="8" width="12.28515625" style="3" customWidth="1"/>
    <col min="9" max="9" width="6.140625" style="9" customWidth="1"/>
    <col min="10" max="10" width="7.5703125" style="5" customWidth="1"/>
    <col min="11" max="11" width="6.42578125" style="11" customWidth="1"/>
    <col min="12" max="12" width="6.140625" style="12" customWidth="1"/>
    <col min="13" max="13" width="12.42578125" style="3" customWidth="1"/>
    <col min="14" max="14" width="28.28515625" customWidth="1"/>
    <col min="17" max="17" width="13.7109375" customWidth="1"/>
  </cols>
  <sheetData>
    <row r="1" spans="1:14" ht="15.75" x14ac:dyDescent="0.2">
      <c r="A1" s="42" t="s">
        <v>14</v>
      </c>
      <c r="B1" s="25"/>
      <c r="C1" s="44" t="s">
        <v>118</v>
      </c>
      <c r="E1" s="35"/>
      <c r="L1" s="9"/>
    </row>
    <row r="2" spans="1:14" x14ac:dyDescent="0.2">
      <c r="A2" s="46" t="s">
        <v>117</v>
      </c>
      <c r="B2" s="47"/>
      <c r="C2" s="36" t="s">
        <v>63</v>
      </c>
      <c r="D2" s="41" t="s">
        <v>119</v>
      </c>
      <c r="E2" s="35"/>
      <c r="F2" s="32" t="s">
        <v>0</v>
      </c>
      <c r="G2" s="7">
        <f>IF(COUNTA($F$8:$F$484)&gt;1,COUNTIF($F$8:$F$484,"ok")/(COUNTA($F$8:$F$484)-COUNTIF($F$8:$F$484,"na")),"---")</f>
        <v>1</v>
      </c>
      <c r="I2" s="8"/>
      <c r="L2" s="9"/>
    </row>
    <row r="3" spans="1:14" x14ac:dyDescent="0.2">
      <c r="B3"/>
      <c r="C3" s="36"/>
      <c r="D3" s="41" t="s">
        <v>120</v>
      </c>
      <c r="F3" s="33" t="s">
        <v>2</v>
      </c>
      <c r="G3" s="23">
        <f>COUNTA($F$8:$F$484)-COUNTIF($F$8:$F$484,"na")-COUNTIF($F$8:$F$484,"ok")</f>
        <v>0</v>
      </c>
      <c r="H3"/>
      <c r="I3"/>
      <c r="J3"/>
      <c r="L3" s="9"/>
    </row>
    <row r="4" spans="1:14" x14ac:dyDescent="0.2">
      <c r="A4" t="s">
        <v>65</v>
      </c>
      <c r="B4" s="41" t="s">
        <v>121</v>
      </c>
      <c r="C4" s="37" t="s">
        <v>64</v>
      </c>
      <c r="D4" s="41"/>
      <c r="E4" s="35"/>
      <c r="F4" s="33" t="s">
        <v>3</v>
      </c>
      <c r="G4" s="23">
        <f>G3-COUNTA(L8:L484)</f>
        <v>0</v>
      </c>
      <c r="I4" s="8"/>
      <c r="L4" s="9"/>
    </row>
    <row r="5" spans="1:14" x14ac:dyDescent="0.2">
      <c r="A5" t="s">
        <v>66</v>
      </c>
      <c r="B5" s="41" t="str">
        <f>B4</f>
        <v>127.0.0.1:81/site</v>
      </c>
      <c r="C5" s="36"/>
      <c r="D5" s="41"/>
      <c r="E5" s="35"/>
    </row>
    <row r="6" spans="1:14" x14ac:dyDescent="0.2">
      <c r="A6" s="13"/>
      <c r="C6" s="38"/>
      <c r="D6" s="40"/>
      <c r="E6" s="39"/>
    </row>
    <row r="7" spans="1:14" s="1" customFormat="1" ht="81.75" x14ac:dyDescent="0.2">
      <c r="A7" s="14" t="s">
        <v>18</v>
      </c>
      <c r="B7" s="14" t="s">
        <v>11</v>
      </c>
      <c r="C7" s="16" t="s">
        <v>61</v>
      </c>
      <c r="D7" s="14" t="s">
        <v>9</v>
      </c>
      <c r="E7" s="15" t="s">
        <v>1</v>
      </c>
      <c r="F7" s="14" t="s">
        <v>15</v>
      </c>
      <c r="G7" s="16" t="s">
        <v>10</v>
      </c>
      <c r="H7" s="17" t="s">
        <v>12</v>
      </c>
      <c r="I7" s="16" t="s">
        <v>4</v>
      </c>
      <c r="J7" s="18" t="s">
        <v>16</v>
      </c>
      <c r="K7" s="19" t="s">
        <v>32</v>
      </c>
      <c r="L7" s="20" t="s">
        <v>5</v>
      </c>
      <c r="M7" s="17" t="s">
        <v>7</v>
      </c>
      <c r="N7" s="17" t="s">
        <v>6</v>
      </c>
    </row>
    <row r="8" spans="1:14" x14ac:dyDescent="0.2">
      <c r="A8" s="29">
        <v>10000</v>
      </c>
      <c r="B8" s="2" t="s">
        <v>8</v>
      </c>
      <c r="C8" s="10"/>
      <c r="D8" s="2"/>
      <c r="E8" s="2"/>
      <c r="F8" s="2"/>
      <c r="G8" s="10"/>
      <c r="H8" s="6"/>
      <c r="I8" s="10"/>
      <c r="J8" s="2"/>
      <c r="K8" s="10"/>
      <c r="L8" s="10"/>
      <c r="M8" s="6"/>
      <c r="N8" s="2"/>
    </row>
    <row r="9" spans="1:14" ht="25.5" x14ac:dyDescent="0.2">
      <c r="A9" s="29">
        <v>10010</v>
      </c>
      <c r="B9" s="27" t="s">
        <v>14</v>
      </c>
      <c r="C9" s="28"/>
      <c r="D9" s="27" t="s">
        <v>60</v>
      </c>
      <c r="E9" s="27" t="s">
        <v>123</v>
      </c>
      <c r="F9" s="27" t="s">
        <v>122</v>
      </c>
      <c r="G9" s="28" t="s">
        <v>126</v>
      </c>
      <c r="H9" s="45">
        <v>42298</v>
      </c>
      <c r="I9" s="10"/>
      <c r="J9" s="2"/>
      <c r="K9" s="10"/>
      <c r="L9" s="28"/>
      <c r="M9" s="6"/>
      <c r="N9" s="2"/>
    </row>
    <row r="10" spans="1:14" ht="25.5" x14ac:dyDescent="0.2">
      <c r="A10" s="29">
        <v>10020</v>
      </c>
      <c r="B10" s="27" t="s">
        <v>40</v>
      </c>
      <c r="C10" s="28"/>
      <c r="D10" s="27" t="s">
        <v>49</v>
      </c>
      <c r="E10" s="27" t="s">
        <v>123</v>
      </c>
      <c r="F10" s="30" t="s">
        <v>122</v>
      </c>
      <c r="G10" s="28" t="s">
        <v>126</v>
      </c>
      <c r="H10" s="45">
        <v>42298</v>
      </c>
      <c r="I10" s="10"/>
      <c r="J10" s="2"/>
      <c r="K10" s="28"/>
      <c r="L10" s="28"/>
      <c r="M10" s="6"/>
      <c r="N10" s="2"/>
    </row>
    <row r="11" spans="1:14" ht="25.5" x14ac:dyDescent="0.2">
      <c r="A11" s="29">
        <v>10030</v>
      </c>
      <c r="B11" s="27" t="s">
        <v>41</v>
      </c>
      <c r="C11" s="28"/>
      <c r="D11" s="27" t="s">
        <v>55</v>
      </c>
      <c r="E11" s="27" t="s">
        <v>123</v>
      </c>
      <c r="F11" s="30" t="s">
        <v>115</v>
      </c>
      <c r="G11" s="28" t="s">
        <v>126</v>
      </c>
      <c r="H11" s="45">
        <v>42298</v>
      </c>
      <c r="I11" s="10"/>
      <c r="J11" s="2"/>
      <c r="K11" s="28"/>
      <c r="L11" s="28"/>
      <c r="M11" s="6"/>
      <c r="N11" s="2"/>
    </row>
    <row r="12" spans="1:14" ht="76.5" x14ac:dyDescent="0.2">
      <c r="A12" s="29">
        <v>10040</v>
      </c>
      <c r="B12" s="27" t="s">
        <v>41</v>
      </c>
      <c r="C12" s="28"/>
      <c r="D12" s="27" t="s">
        <v>91</v>
      </c>
      <c r="E12" s="27" t="s">
        <v>123</v>
      </c>
      <c r="F12" s="30" t="s">
        <v>122</v>
      </c>
      <c r="G12" s="28" t="s">
        <v>126</v>
      </c>
      <c r="H12" s="45">
        <v>42298</v>
      </c>
      <c r="I12" s="10"/>
      <c r="J12" s="2"/>
      <c r="K12" s="28"/>
      <c r="L12" s="28"/>
      <c r="M12" s="6"/>
      <c r="N12" s="2"/>
    </row>
    <row r="13" spans="1:14" ht="51" x14ac:dyDescent="0.2">
      <c r="A13" s="29">
        <v>10050</v>
      </c>
      <c r="B13" s="27" t="s">
        <v>43</v>
      </c>
      <c r="C13" s="28"/>
      <c r="D13" s="27" t="s">
        <v>53</v>
      </c>
      <c r="E13" s="27" t="s">
        <v>123</v>
      </c>
      <c r="F13" s="27" t="s">
        <v>122</v>
      </c>
      <c r="G13" s="28" t="s">
        <v>126</v>
      </c>
      <c r="H13" s="45">
        <v>42298</v>
      </c>
      <c r="I13" s="10"/>
      <c r="J13" s="2"/>
      <c r="K13" s="10"/>
      <c r="L13" s="28"/>
      <c r="M13" s="6"/>
      <c r="N13" s="2"/>
    </row>
    <row r="14" spans="1:14" ht="38.25" x14ac:dyDescent="0.2">
      <c r="A14" s="29">
        <v>10060</v>
      </c>
      <c r="B14" s="27" t="s">
        <v>43</v>
      </c>
      <c r="C14" s="28"/>
      <c r="D14" s="27" t="s">
        <v>44</v>
      </c>
      <c r="E14" s="27" t="s">
        <v>124</v>
      </c>
      <c r="F14" s="27" t="s">
        <v>122</v>
      </c>
      <c r="G14" s="28" t="s">
        <v>126</v>
      </c>
      <c r="H14" s="45">
        <v>42298</v>
      </c>
      <c r="I14" s="10"/>
      <c r="J14" s="2"/>
      <c r="K14" s="10"/>
      <c r="L14" s="28"/>
      <c r="M14" s="6"/>
      <c r="N14" s="2"/>
    </row>
    <row r="15" spans="1:14" x14ac:dyDescent="0.2">
      <c r="A15" s="29">
        <v>10070</v>
      </c>
      <c r="B15" s="27"/>
      <c r="C15" s="28"/>
      <c r="D15" s="31"/>
      <c r="E15" s="2"/>
      <c r="F15" s="27"/>
      <c r="G15" s="28"/>
      <c r="H15" s="45"/>
      <c r="I15" s="10"/>
      <c r="J15" s="2"/>
      <c r="K15" s="10"/>
      <c r="L15" s="28"/>
      <c r="M15" s="6"/>
      <c r="N15" s="2"/>
    </row>
    <row r="16" spans="1:14" x14ac:dyDescent="0.2">
      <c r="A16" s="29">
        <v>20000</v>
      </c>
      <c r="B16" s="27" t="s">
        <v>92</v>
      </c>
      <c r="C16" s="28"/>
      <c r="D16" s="2"/>
      <c r="E16" s="2"/>
      <c r="F16" s="27"/>
      <c r="G16" s="28"/>
      <c r="H16" s="45"/>
      <c r="I16" s="10"/>
      <c r="J16" s="2"/>
      <c r="K16" s="10"/>
      <c r="L16" s="28"/>
      <c r="M16" s="6"/>
      <c r="N16" s="2"/>
    </row>
    <row r="17" spans="1:14" x14ac:dyDescent="0.2">
      <c r="A17" s="29">
        <v>20010</v>
      </c>
      <c r="B17" s="27" t="s">
        <v>42</v>
      </c>
      <c r="C17" s="28"/>
      <c r="D17" s="27" t="s">
        <v>93</v>
      </c>
      <c r="E17" s="27" t="s">
        <v>124</v>
      </c>
      <c r="F17" s="27" t="s">
        <v>122</v>
      </c>
      <c r="G17" s="28" t="s">
        <v>126</v>
      </c>
      <c r="H17" s="45">
        <v>42298</v>
      </c>
      <c r="I17" s="10"/>
      <c r="J17" s="2"/>
      <c r="K17" s="10"/>
      <c r="L17" s="28"/>
      <c r="M17" s="6"/>
      <c r="N17" s="2"/>
    </row>
    <row r="18" spans="1:14" ht="38.25" x14ac:dyDescent="0.2">
      <c r="A18" s="29">
        <v>20020</v>
      </c>
      <c r="B18" s="27" t="s">
        <v>56</v>
      </c>
      <c r="C18" s="28"/>
      <c r="D18" s="27" t="s">
        <v>94</v>
      </c>
      <c r="E18" s="27" t="s">
        <v>124</v>
      </c>
      <c r="F18" s="27" t="s">
        <v>122</v>
      </c>
      <c r="G18" s="28" t="s">
        <v>126</v>
      </c>
      <c r="H18" s="45">
        <v>42298</v>
      </c>
      <c r="I18" s="10"/>
      <c r="J18" s="2"/>
      <c r="K18" s="10"/>
      <c r="L18" s="28"/>
      <c r="M18" s="6"/>
      <c r="N18" s="2"/>
    </row>
    <row r="19" spans="1:14" ht="25.5" x14ac:dyDescent="0.2">
      <c r="A19" s="29">
        <v>20030</v>
      </c>
      <c r="B19" s="27" t="s">
        <v>57</v>
      </c>
      <c r="C19" s="28"/>
      <c r="D19" s="27" t="s">
        <v>58</v>
      </c>
      <c r="E19" s="27" t="s">
        <v>124</v>
      </c>
      <c r="F19" s="27" t="s">
        <v>122</v>
      </c>
      <c r="G19" s="28" t="s">
        <v>126</v>
      </c>
      <c r="H19" s="45">
        <v>42298</v>
      </c>
      <c r="I19" s="10"/>
      <c r="J19" s="2"/>
      <c r="K19" s="10"/>
      <c r="L19" s="28"/>
      <c r="M19" s="6"/>
      <c r="N19" s="2"/>
    </row>
    <row r="20" spans="1:14" x14ac:dyDescent="0.2">
      <c r="A20" s="29">
        <v>20040</v>
      </c>
      <c r="B20" s="2"/>
      <c r="C20" s="10"/>
      <c r="D20" s="2"/>
      <c r="E20" s="2"/>
      <c r="F20" s="27"/>
      <c r="G20" s="28"/>
      <c r="H20" s="45"/>
      <c r="I20" s="10"/>
      <c r="J20" s="2"/>
      <c r="K20" s="10"/>
      <c r="L20" s="28"/>
      <c r="M20" s="6"/>
      <c r="N20" s="2"/>
    </row>
    <row r="21" spans="1:14" x14ac:dyDescent="0.2">
      <c r="A21" s="29">
        <v>30000</v>
      </c>
      <c r="B21" s="27" t="s">
        <v>34</v>
      </c>
      <c r="C21" s="28"/>
      <c r="D21" s="2"/>
      <c r="E21" s="2"/>
      <c r="F21" s="27"/>
      <c r="G21" s="28"/>
      <c r="H21" s="45"/>
      <c r="I21" s="10"/>
      <c r="J21" s="2"/>
      <c r="K21" s="10"/>
      <c r="L21" s="28"/>
      <c r="M21" s="6"/>
      <c r="N21" s="2"/>
    </row>
    <row r="22" spans="1:14" ht="25.5" x14ac:dyDescent="0.2">
      <c r="A22" s="29">
        <v>30010</v>
      </c>
      <c r="B22" s="27" t="s">
        <v>35</v>
      </c>
      <c r="C22" s="28"/>
      <c r="D22" s="27" t="s">
        <v>39</v>
      </c>
      <c r="E22" s="27" t="s">
        <v>124</v>
      </c>
      <c r="F22" s="27" t="s">
        <v>122</v>
      </c>
      <c r="G22" s="28" t="s">
        <v>126</v>
      </c>
      <c r="H22" s="45">
        <v>42298</v>
      </c>
      <c r="I22" s="10"/>
      <c r="J22" s="2"/>
      <c r="K22" s="10"/>
      <c r="L22" s="28"/>
      <c r="M22" s="6"/>
      <c r="N22" s="2"/>
    </row>
    <row r="23" spans="1:14" ht="25.5" x14ac:dyDescent="0.2">
      <c r="A23" s="29">
        <v>30020</v>
      </c>
      <c r="B23" s="27" t="s">
        <v>36</v>
      </c>
      <c r="C23" s="28"/>
      <c r="D23" s="27" t="s">
        <v>95</v>
      </c>
      <c r="E23" s="27" t="s">
        <v>124</v>
      </c>
      <c r="F23" s="27" t="s">
        <v>122</v>
      </c>
      <c r="G23" s="28" t="s">
        <v>126</v>
      </c>
      <c r="H23" s="45">
        <v>42298</v>
      </c>
      <c r="I23" s="10"/>
      <c r="J23" s="2"/>
      <c r="K23" s="10"/>
      <c r="L23" s="28"/>
      <c r="M23" s="6"/>
      <c r="N23" s="2"/>
    </row>
    <row r="24" spans="1:14" ht="25.5" x14ac:dyDescent="0.2">
      <c r="A24" s="29">
        <v>30030</v>
      </c>
      <c r="B24" s="2" t="s">
        <v>37</v>
      </c>
      <c r="C24" s="10"/>
      <c r="D24" s="2" t="s">
        <v>50</v>
      </c>
      <c r="E24" s="27" t="s">
        <v>124</v>
      </c>
      <c r="F24" s="27" t="s">
        <v>122</v>
      </c>
      <c r="G24" s="28" t="s">
        <v>126</v>
      </c>
      <c r="H24" s="45">
        <v>42298</v>
      </c>
      <c r="I24" s="10"/>
      <c r="J24" s="2"/>
      <c r="K24" s="10"/>
      <c r="L24" s="28"/>
      <c r="M24" s="6"/>
      <c r="N24" s="2"/>
    </row>
    <row r="25" spans="1:14" ht="51" x14ac:dyDescent="0.2">
      <c r="A25" s="29">
        <v>30040</v>
      </c>
      <c r="B25" s="2" t="s">
        <v>38</v>
      </c>
      <c r="C25" s="10"/>
      <c r="D25" s="27" t="s">
        <v>54</v>
      </c>
      <c r="E25" s="27" t="s">
        <v>124</v>
      </c>
      <c r="F25" s="27" t="s">
        <v>122</v>
      </c>
      <c r="G25" s="28" t="s">
        <v>126</v>
      </c>
      <c r="H25" s="45">
        <v>42298</v>
      </c>
      <c r="I25" s="10"/>
      <c r="J25" s="2"/>
      <c r="K25" s="10"/>
      <c r="L25" s="28"/>
      <c r="M25" s="6"/>
      <c r="N25" s="2"/>
    </row>
    <row r="26" spans="1:14" x14ac:dyDescent="0.2">
      <c r="A26" s="29">
        <v>30050</v>
      </c>
      <c r="B26" s="2"/>
      <c r="C26" s="10"/>
      <c r="D26" s="2"/>
      <c r="E26" s="2"/>
      <c r="F26" s="27"/>
      <c r="G26" s="28"/>
      <c r="H26" s="45"/>
      <c r="I26" s="10"/>
      <c r="J26" s="2"/>
      <c r="K26" s="10"/>
      <c r="L26" s="28"/>
      <c r="M26" s="6"/>
      <c r="N26" s="2"/>
    </row>
    <row r="27" spans="1:14" x14ac:dyDescent="0.2">
      <c r="A27" s="29">
        <v>40000</v>
      </c>
      <c r="B27" s="27" t="s">
        <v>17</v>
      </c>
      <c r="C27" s="28"/>
      <c r="D27" s="2"/>
      <c r="E27" s="2"/>
      <c r="F27" s="27"/>
      <c r="G27" s="28"/>
      <c r="H27" s="45"/>
      <c r="I27" s="10"/>
      <c r="J27" s="2"/>
      <c r="K27" s="10"/>
      <c r="L27" s="28"/>
      <c r="M27" s="6"/>
      <c r="N27" s="2"/>
    </row>
    <row r="28" spans="1:14" ht="51" x14ac:dyDescent="0.2">
      <c r="A28" s="29">
        <v>40010</v>
      </c>
      <c r="B28" s="27" t="s">
        <v>52</v>
      </c>
      <c r="C28" s="28"/>
      <c r="D28" s="31" t="s">
        <v>96</v>
      </c>
      <c r="E28" s="27" t="s">
        <v>124</v>
      </c>
      <c r="F28" s="27" t="s">
        <v>122</v>
      </c>
      <c r="G28" s="28" t="s">
        <v>126</v>
      </c>
      <c r="H28" s="45">
        <v>42298</v>
      </c>
      <c r="I28" s="10"/>
      <c r="J28" s="2"/>
      <c r="K28" s="10"/>
      <c r="L28" s="28"/>
      <c r="M28" s="6"/>
      <c r="N28" s="2"/>
    </row>
    <row r="29" spans="1:14" ht="25.5" x14ac:dyDescent="0.2">
      <c r="A29" s="29">
        <v>40020</v>
      </c>
      <c r="B29" s="27" t="s">
        <v>52</v>
      </c>
      <c r="C29" s="28"/>
      <c r="D29" s="27" t="s">
        <v>45</v>
      </c>
      <c r="E29" s="27" t="s">
        <v>124</v>
      </c>
      <c r="F29" s="27" t="s">
        <v>122</v>
      </c>
      <c r="G29" s="28" t="s">
        <v>126</v>
      </c>
      <c r="H29" s="45">
        <v>42298</v>
      </c>
      <c r="I29" s="10"/>
      <c r="J29" s="2"/>
      <c r="K29" s="10"/>
      <c r="L29" s="28"/>
      <c r="M29" s="6"/>
      <c r="N29" s="2"/>
    </row>
    <row r="30" spans="1:14" ht="25.5" x14ac:dyDescent="0.2">
      <c r="A30" s="29">
        <v>40030</v>
      </c>
      <c r="B30" s="27" t="s">
        <v>48</v>
      </c>
      <c r="C30" s="28"/>
      <c r="D30" s="27" t="s">
        <v>112</v>
      </c>
      <c r="E30" s="27" t="s">
        <v>124</v>
      </c>
      <c r="F30" s="27" t="s">
        <v>122</v>
      </c>
      <c r="G30" s="28" t="s">
        <v>126</v>
      </c>
      <c r="H30" s="45">
        <v>42298</v>
      </c>
      <c r="I30" s="10"/>
      <c r="J30" s="2"/>
      <c r="K30" s="10"/>
      <c r="L30" s="28"/>
      <c r="M30" s="6"/>
      <c r="N30" s="2"/>
    </row>
    <row r="31" spans="1:14" ht="38.25" x14ac:dyDescent="0.2">
      <c r="A31" s="29">
        <v>40040</v>
      </c>
      <c r="B31" s="27" t="s">
        <v>109</v>
      </c>
      <c r="C31" s="28"/>
      <c r="D31" s="27" t="s">
        <v>110</v>
      </c>
      <c r="E31" s="27" t="s">
        <v>124</v>
      </c>
      <c r="F31" s="27" t="s">
        <v>122</v>
      </c>
      <c r="G31" s="28" t="s">
        <v>126</v>
      </c>
      <c r="H31" s="45">
        <v>42298</v>
      </c>
      <c r="I31" s="10"/>
      <c r="J31" s="2"/>
      <c r="K31" s="10"/>
      <c r="L31" s="28"/>
      <c r="M31" s="6"/>
      <c r="N31" s="2"/>
    </row>
    <row r="32" spans="1:14" ht="51" x14ac:dyDescent="0.2">
      <c r="A32" s="29">
        <v>40050</v>
      </c>
      <c r="B32" s="27" t="s">
        <v>109</v>
      </c>
      <c r="C32" s="28"/>
      <c r="D32" s="27" t="s">
        <v>111</v>
      </c>
      <c r="E32" s="27" t="s">
        <v>124</v>
      </c>
      <c r="F32" s="27" t="s">
        <v>122</v>
      </c>
      <c r="G32" s="28" t="s">
        <v>126</v>
      </c>
      <c r="H32" s="45">
        <v>42298</v>
      </c>
      <c r="I32" s="10"/>
      <c r="J32" s="2"/>
      <c r="K32" s="10"/>
      <c r="L32" s="28"/>
      <c r="M32" s="6"/>
      <c r="N32" s="2"/>
    </row>
    <row r="33" spans="1:14" x14ac:dyDescent="0.2">
      <c r="A33" s="29">
        <v>40060</v>
      </c>
      <c r="B33" s="27"/>
      <c r="C33" s="28"/>
      <c r="D33" s="27"/>
      <c r="E33" s="2"/>
      <c r="F33" s="27"/>
      <c r="G33" s="28"/>
      <c r="H33" s="45"/>
      <c r="I33" s="10"/>
      <c r="J33" s="2"/>
      <c r="K33" s="10"/>
      <c r="L33" s="28"/>
      <c r="M33" s="6"/>
      <c r="N33" s="2"/>
    </row>
    <row r="34" spans="1:14" x14ac:dyDescent="0.2">
      <c r="A34" s="29">
        <v>50000</v>
      </c>
      <c r="B34" s="27" t="s">
        <v>33</v>
      </c>
      <c r="C34" s="28"/>
      <c r="D34" s="2"/>
      <c r="E34" s="2"/>
      <c r="F34" s="27"/>
      <c r="G34" s="28"/>
      <c r="H34" s="45"/>
      <c r="I34" s="10"/>
      <c r="J34" s="2"/>
      <c r="K34" s="10"/>
      <c r="L34" s="28"/>
      <c r="M34" s="6"/>
      <c r="N34" s="2"/>
    </row>
    <row r="35" spans="1:14" ht="63.75" x14ac:dyDescent="0.2">
      <c r="A35" s="29">
        <v>50010</v>
      </c>
      <c r="B35" s="27" t="s">
        <v>42</v>
      </c>
      <c r="C35" s="28"/>
      <c r="D35" s="27" t="s">
        <v>51</v>
      </c>
      <c r="E35" s="27" t="s">
        <v>124</v>
      </c>
      <c r="F35" s="27" t="s">
        <v>122</v>
      </c>
      <c r="G35" s="28" t="s">
        <v>126</v>
      </c>
      <c r="H35" s="45">
        <v>42298</v>
      </c>
      <c r="I35" s="10"/>
      <c r="J35" s="2"/>
      <c r="K35" s="10"/>
      <c r="L35" s="28"/>
      <c r="M35" s="6"/>
      <c r="N35" s="2"/>
    </row>
    <row r="36" spans="1:14" ht="38.25" x14ac:dyDescent="0.2">
      <c r="A36" s="29">
        <v>50020</v>
      </c>
      <c r="B36" s="27" t="s">
        <v>46</v>
      </c>
      <c r="C36" s="28"/>
      <c r="D36" s="27" t="s">
        <v>47</v>
      </c>
      <c r="E36" s="27" t="s">
        <v>124</v>
      </c>
      <c r="F36" s="27" t="s">
        <v>122</v>
      </c>
      <c r="G36" s="28" t="s">
        <v>126</v>
      </c>
      <c r="H36" s="45">
        <v>42298</v>
      </c>
      <c r="I36" s="10"/>
      <c r="J36" s="2"/>
      <c r="K36" s="10"/>
      <c r="L36" s="28"/>
      <c r="M36" s="6"/>
      <c r="N36" s="2"/>
    </row>
    <row r="37" spans="1:14" x14ac:dyDescent="0.2">
      <c r="A37" s="29">
        <v>50030</v>
      </c>
      <c r="B37" s="2"/>
      <c r="C37" s="10"/>
      <c r="D37" s="2"/>
      <c r="E37" s="27"/>
      <c r="F37" s="27"/>
      <c r="G37" s="28"/>
      <c r="H37" s="45"/>
      <c r="I37" s="10"/>
      <c r="J37" s="2"/>
      <c r="K37" s="10"/>
      <c r="L37" s="28"/>
      <c r="M37" s="6"/>
      <c r="N37" s="2"/>
    </row>
    <row r="38" spans="1:14" x14ac:dyDescent="0.2">
      <c r="A38" s="29">
        <v>60000</v>
      </c>
      <c r="B38" s="27" t="s">
        <v>114</v>
      </c>
      <c r="C38" s="28"/>
      <c r="D38" s="2"/>
      <c r="E38" s="2"/>
      <c r="F38" s="27"/>
      <c r="G38" s="28"/>
      <c r="H38" s="45"/>
      <c r="I38" s="10"/>
      <c r="J38" s="2"/>
      <c r="K38" s="10"/>
      <c r="L38" s="28"/>
      <c r="M38" s="6"/>
      <c r="N38" s="2"/>
    </row>
    <row r="39" spans="1:14" x14ac:dyDescent="0.2">
      <c r="A39" s="29">
        <v>60010</v>
      </c>
      <c r="B39" s="27" t="s">
        <v>59</v>
      </c>
      <c r="C39" s="28"/>
      <c r="D39" s="27" t="s">
        <v>113</v>
      </c>
      <c r="E39" s="27" t="s">
        <v>124</v>
      </c>
      <c r="F39" s="27"/>
      <c r="G39" s="28"/>
      <c r="H39" s="45">
        <v>42298</v>
      </c>
      <c r="I39" s="10"/>
      <c r="J39" s="2"/>
      <c r="K39" s="10"/>
      <c r="L39" s="28"/>
      <c r="M39" s="6"/>
      <c r="N39" s="2"/>
    </row>
    <row r="40" spans="1:14" ht="25.5" x14ac:dyDescent="0.2">
      <c r="A40" s="29">
        <v>60020</v>
      </c>
      <c r="B40" s="27" t="s">
        <v>59</v>
      </c>
      <c r="C40" s="28"/>
      <c r="D40" s="27" t="s">
        <v>97</v>
      </c>
      <c r="E40" s="27" t="s">
        <v>124</v>
      </c>
      <c r="F40" s="27" t="s">
        <v>115</v>
      </c>
      <c r="G40" s="28" t="s">
        <v>126</v>
      </c>
      <c r="H40" s="45">
        <v>42298</v>
      </c>
      <c r="I40" s="10"/>
      <c r="J40" s="2"/>
      <c r="K40" s="10"/>
      <c r="L40" s="28"/>
      <c r="M40" s="6"/>
      <c r="N40" s="27" t="s">
        <v>125</v>
      </c>
    </row>
    <row r="41" spans="1:14" ht="38.25" x14ac:dyDescent="0.2">
      <c r="A41" s="29">
        <v>60030</v>
      </c>
      <c r="B41" s="27" t="s">
        <v>101</v>
      </c>
      <c r="C41" s="28"/>
      <c r="D41" s="27" t="s">
        <v>116</v>
      </c>
      <c r="E41" s="2"/>
      <c r="F41" s="27" t="s">
        <v>122</v>
      </c>
      <c r="G41" s="28" t="s">
        <v>126</v>
      </c>
      <c r="H41" s="45">
        <v>42298</v>
      </c>
      <c r="I41" s="10"/>
      <c r="J41" s="2"/>
      <c r="K41" s="10"/>
      <c r="L41" s="28"/>
      <c r="M41" s="6"/>
      <c r="N41" s="2"/>
    </row>
    <row r="42" spans="1:14" ht="38.25" x14ac:dyDescent="0.2">
      <c r="A42" s="29">
        <v>60040</v>
      </c>
      <c r="B42" s="27" t="s">
        <v>99</v>
      </c>
      <c r="C42" s="28"/>
      <c r="D42" s="27" t="s">
        <v>98</v>
      </c>
      <c r="E42" s="27" t="s">
        <v>124</v>
      </c>
      <c r="F42" s="27" t="s">
        <v>122</v>
      </c>
      <c r="G42" s="28" t="s">
        <v>126</v>
      </c>
      <c r="H42" s="45">
        <v>42298</v>
      </c>
      <c r="I42" s="10"/>
      <c r="J42" s="2"/>
      <c r="K42" s="10"/>
      <c r="L42" s="28"/>
      <c r="M42" s="6"/>
      <c r="N42" s="2"/>
    </row>
    <row r="43" spans="1:14" ht="38.25" x14ac:dyDescent="0.2">
      <c r="A43" s="29">
        <v>60050</v>
      </c>
      <c r="B43" s="27" t="s">
        <v>99</v>
      </c>
      <c r="C43" s="28"/>
      <c r="D43" s="27" t="s">
        <v>100</v>
      </c>
      <c r="E43" s="27" t="s">
        <v>124</v>
      </c>
      <c r="F43" s="27" t="s">
        <v>122</v>
      </c>
      <c r="G43" s="28" t="s">
        <v>126</v>
      </c>
      <c r="H43" s="45">
        <v>42298</v>
      </c>
      <c r="I43" s="10"/>
      <c r="J43" s="2"/>
      <c r="K43" s="10"/>
      <c r="L43" s="28"/>
      <c r="M43" s="6"/>
      <c r="N43" s="2"/>
    </row>
    <row r="44" spans="1:14" ht="25.5" x14ac:dyDescent="0.2">
      <c r="A44" s="29">
        <v>60060</v>
      </c>
      <c r="B44" s="27" t="s">
        <v>102</v>
      </c>
      <c r="C44" s="28"/>
      <c r="D44" s="27" t="s">
        <v>103</v>
      </c>
      <c r="E44" s="27" t="s">
        <v>124</v>
      </c>
      <c r="F44" s="27" t="s">
        <v>122</v>
      </c>
      <c r="G44" s="28" t="s">
        <v>126</v>
      </c>
      <c r="H44" s="45">
        <v>42298</v>
      </c>
      <c r="I44" s="10"/>
      <c r="J44" s="2"/>
      <c r="K44" s="10"/>
      <c r="L44" s="28"/>
      <c r="M44" s="6"/>
      <c r="N44" s="2"/>
    </row>
    <row r="45" spans="1:14" ht="25.5" x14ac:dyDescent="0.2">
      <c r="A45" s="29">
        <v>60070</v>
      </c>
      <c r="B45" s="27" t="s">
        <v>102</v>
      </c>
      <c r="C45" s="28"/>
      <c r="D45" s="27" t="s">
        <v>107</v>
      </c>
      <c r="E45" s="27" t="s">
        <v>124</v>
      </c>
      <c r="F45" s="27" t="s">
        <v>122</v>
      </c>
      <c r="G45" s="28" t="s">
        <v>126</v>
      </c>
      <c r="H45" s="45">
        <v>42298</v>
      </c>
      <c r="I45" s="10"/>
      <c r="J45" s="2"/>
      <c r="K45" s="10"/>
      <c r="L45" s="28"/>
      <c r="M45" s="6"/>
      <c r="N45" s="2"/>
    </row>
    <row r="46" spans="1:14" ht="25.5" x14ac:dyDescent="0.2">
      <c r="A46" s="29">
        <v>60080</v>
      </c>
      <c r="B46" s="27" t="s">
        <v>102</v>
      </c>
      <c r="C46" s="28"/>
      <c r="D46" s="27" t="s">
        <v>108</v>
      </c>
      <c r="E46" s="27" t="s">
        <v>124</v>
      </c>
      <c r="F46" s="27" t="s">
        <v>122</v>
      </c>
      <c r="G46" s="28" t="s">
        <v>126</v>
      </c>
      <c r="H46" s="45">
        <v>42298</v>
      </c>
      <c r="I46" s="10"/>
      <c r="J46" s="2"/>
      <c r="K46" s="10"/>
      <c r="L46" s="28"/>
      <c r="M46" s="6"/>
      <c r="N46" s="2"/>
    </row>
    <row r="47" spans="1:14" ht="38.25" x14ac:dyDescent="0.2">
      <c r="A47" s="29">
        <v>60090</v>
      </c>
      <c r="B47" s="27" t="s">
        <v>106</v>
      </c>
      <c r="C47" s="28"/>
      <c r="D47" s="27" t="s">
        <v>104</v>
      </c>
      <c r="E47" s="27" t="s">
        <v>124</v>
      </c>
      <c r="F47" s="27" t="s">
        <v>122</v>
      </c>
      <c r="G47" s="28" t="s">
        <v>126</v>
      </c>
      <c r="H47" s="45">
        <v>42298</v>
      </c>
      <c r="I47" s="10"/>
      <c r="J47" s="2"/>
      <c r="K47" s="10"/>
      <c r="L47" s="28"/>
      <c r="M47" s="6"/>
      <c r="N47" s="2"/>
    </row>
    <row r="48" spans="1:14" ht="51" x14ac:dyDescent="0.2">
      <c r="A48" s="29">
        <v>60100</v>
      </c>
      <c r="B48" s="27" t="s">
        <v>106</v>
      </c>
      <c r="C48" s="28"/>
      <c r="D48" s="27" t="s">
        <v>105</v>
      </c>
      <c r="E48" s="27" t="s">
        <v>124</v>
      </c>
      <c r="F48" s="27" t="s">
        <v>122</v>
      </c>
      <c r="G48" s="28" t="s">
        <v>126</v>
      </c>
      <c r="H48" s="45">
        <v>42298</v>
      </c>
      <c r="I48" s="10"/>
      <c r="J48" s="2"/>
      <c r="K48" s="10"/>
      <c r="L48" s="28"/>
      <c r="M48" s="6"/>
      <c r="N48" s="2"/>
    </row>
    <row r="49" spans="1:14" x14ac:dyDescent="0.2">
      <c r="A49" s="29">
        <v>60110</v>
      </c>
      <c r="B49" s="2"/>
      <c r="C49" s="10"/>
      <c r="D49" s="2"/>
      <c r="E49" s="2"/>
      <c r="F49" s="27"/>
      <c r="G49" s="28"/>
      <c r="H49" s="45"/>
      <c r="I49" s="10"/>
      <c r="J49" s="2"/>
      <c r="K49" s="10"/>
      <c r="L49" s="28"/>
      <c r="M49" s="6"/>
      <c r="N49" s="2"/>
    </row>
    <row r="50" spans="1:14" x14ac:dyDescent="0.2">
      <c r="A50" s="29">
        <v>70000</v>
      </c>
      <c r="B50" s="27" t="s">
        <v>133</v>
      </c>
      <c r="C50" s="28"/>
      <c r="D50" s="2"/>
      <c r="E50" s="2"/>
      <c r="F50" s="27"/>
      <c r="G50" s="28"/>
      <c r="H50" s="45"/>
      <c r="I50" s="10"/>
      <c r="J50" s="2"/>
      <c r="K50" s="10"/>
      <c r="L50" s="28"/>
      <c r="M50" s="6"/>
      <c r="N50" s="2"/>
    </row>
    <row r="51" spans="1:14" ht="38.25" x14ac:dyDescent="0.2">
      <c r="A51" s="29">
        <v>70010</v>
      </c>
      <c r="B51" s="27" t="s">
        <v>127</v>
      </c>
      <c r="C51" s="28"/>
      <c r="D51" s="27" t="s">
        <v>130</v>
      </c>
      <c r="E51" s="2" t="s">
        <v>124</v>
      </c>
      <c r="F51" s="27" t="s">
        <v>122</v>
      </c>
      <c r="G51" s="28" t="s">
        <v>126</v>
      </c>
      <c r="H51" s="45">
        <v>42298</v>
      </c>
      <c r="I51" s="10"/>
      <c r="J51" s="2"/>
      <c r="K51" s="10"/>
      <c r="L51" s="28"/>
      <c r="M51" s="6"/>
      <c r="N51" s="2"/>
    </row>
    <row r="52" spans="1:14" ht="38.25" x14ac:dyDescent="0.2">
      <c r="A52" s="29">
        <v>70020</v>
      </c>
      <c r="B52" s="27" t="s">
        <v>128</v>
      </c>
      <c r="C52" s="28"/>
      <c r="D52" s="27" t="s">
        <v>131</v>
      </c>
      <c r="E52" s="2" t="s">
        <v>124</v>
      </c>
      <c r="F52" s="27" t="s">
        <v>122</v>
      </c>
      <c r="G52" s="28" t="s">
        <v>126</v>
      </c>
      <c r="H52" s="45">
        <v>42298</v>
      </c>
      <c r="I52" s="10"/>
      <c r="J52" s="2"/>
      <c r="K52" s="10"/>
      <c r="L52" s="28"/>
      <c r="M52" s="6"/>
      <c r="N52" s="2"/>
    </row>
    <row r="53" spans="1:14" ht="38.25" x14ac:dyDescent="0.2">
      <c r="A53" s="29">
        <v>70030</v>
      </c>
      <c r="B53" s="27" t="s">
        <v>129</v>
      </c>
      <c r="C53" s="28"/>
      <c r="D53" s="27" t="s">
        <v>132</v>
      </c>
      <c r="E53" s="2" t="s">
        <v>124</v>
      </c>
      <c r="F53" s="27"/>
      <c r="G53" s="28"/>
      <c r="H53" s="45"/>
      <c r="I53" s="10"/>
      <c r="J53" s="2"/>
      <c r="K53" s="10"/>
      <c r="L53" s="28"/>
      <c r="M53" s="6"/>
      <c r="N53" s="2"/>
    </row>
    <row r="54" spans="1:14" ht="25.5" x14ac:dyDescent="0.2">
      <c r="A54" s="29">
        <v>70040</v>
      </c>
      <c r="B54" s="27" t="s">
        <v>134</v>
      </c>
      <c r="C54" s="28"/>
      <c r="D54" s="27" t="s">
        <v>135</v>
      </c>
      <c r="E54" s="2" t="s">
        <v>124</v>
      </c>
      <c r="F54" s="27"/>
      <c r="G54" s="28"/>
      <c r="H54" s="45"/>
      <c r="I54" s="10"/>
      <c r="J54" s="2"/>
      <c r="K54" s="10"/>
      <c r="L54" s="28"/>
      <c r="M54" s="6"/>
      <c r="N54" s="2"/>
    </row>
    <row r="55" spans="1:14" ht="51" x14ac:dyDescent="0.2">
      <c r="A55" s="29">
        <v>70050</v>
      </c>
      <c r="B55" s="27" t="s">
        <v>136</v>
      </c>
      <c r="C55" s="28"/>
      <c r="D55" s="27" t="s">
        <v>137</v>
      </c>
      <c r="E55" s="2" t="s">
        <v>124</v>
      </c>
      <c r="F55" s="27"/>
      <c r="G55" s="28"/>
      <c r="H55" s="45"/>
      <c r="I55" s="10"/>
      <c r="J55" s="2"/>
      <c r="K55" s="10"/>
      <c r="L55" s="28"/>
      <c r="M55" s="6"/>
      <c r="N55" s="2"/>
    </row>
    <row r="56" spans="1:14" x14ac:dyDescent="0.2">
      <c r="A56" s="29"/>
      <c r="B56" s="27"/>
      <c r="C56" s="28"/>
      <c r="D56" s="27"/>
      <c r="E56" s="2"/>
      <c r="F56" s="27"/>
      <c r="G56" s="28"/>
      <c r="H56" s="45"/>
      <c r="I56" s="10"/>
      <c r="J56" s="2"/>
      <c r="K56" s="10"/>
      <c r="L56" s="28"/>
      <c r="M56" s="6"/>
      <c r="N56" s="2"/>
    </row>
    <row r="57" spans="1:14" x14ac:dyDescent="0.2">
      <c r="A57" s="29">
        <v>80000</v>
      </c>
      <c r="B57" s="27"/>
      <c r="C57" s="28"/>
      <c r="D57" s="2"/>
      <c r="E57" s="2"/>
      <c r="F57" s="27"/>
      <c r="G57" s="28"/>
      <c r="H57" s="45"/>
      <c r="I57" s="10"/>
      <c r="J57" s="2"/>
      <c r="K57" s="10"/>
      <c r="L57" s="28"/>
      <c r="M57" s="6"/>
      <c r="N57" s="2"/>
    </row>
    <row r="58" spans="1:14" x14ac:dyDescent="0.2">
      <c r="A58" s="29">
        <v>80010</v>
      </c>
      <c r="B58" s="27"/>
      <c r="C58" s="28"/>
      <c r="D58" s="27"/>
      <c r="E58" s="2"/>
      <c r="F58" s="27"/>
      <c r="G58" s="28"/>
      <c r="H58" s="45"/>
      <c r="I58" s="10"/>
      <c r="J58" s="2"/>
      <c r="K58" s="10"/>
      <c r="L58" s="28"/>
      <c r="M58" s="6"/>
      <c r="N58" s="2"/>
    </row>
    <row r="59" spans="1:14" x14ac:dyDescent="0.2">
      <c r="A59" s="29">
        <v>80020</v>
      </c>
      <c r="B59" s="27"/>
      <c r="C59" s="28"/>
      <c r="D59" s="27"/>
      <c r="E59" s="2"/>
      <c r="F59" s="27"/>
      <c r="G59" s="28"/>
      <c r="H59" s="45"/>
      <c r="I59" s="10"/>
      <c r="J59" s="2"/>
      <c r="K59" s="10"/>
      <c r="L59" s="28"/>
      <c r="M59" s="6"/>
      <c r="N59" s="2"/>
    </row>
    <row r="60" spans="1:14" x14ac:dyDescent="0.2">
      <c r="A60" s="29">
        <v>80030</v>
      </c>
      <c r="B60" s="27"/>
      <c r="C60" s="28"/>
      <c r="D60" s="27"/>
      <c r="E60" s="2"/>
      <c r="F60" s="27"/>
      <c r="G60" s="28"/>
      <c r="H60" s="45"/>
      <c r="I60" s="10"/>
      <c r="J60" s="2"/>
      <c r="K60" s="10"/>
      <c r="L60" s="28"/>
      <c r="M60" s="6"/>
      <c r="N60" s="2"/>
    </row>
    <row r="61" spans="1:14" x14ac:dyDescent="0.2">
      <c r="A61" s="29">
        <v>80040</v>
      </c>
      <c r="B61" s="27"/>
      <c r="C61" s="28"/>
      <c r="D61" s="27"/>
      <c r="E61" s="2"/>
      <c r="F61" s="27"/>
      <c r="G61" s="28"/>
      <c r="H61" s="6"/>
      <c r="I61" s="10"/>
      <c r="J61" s="2"/>
      <c r="K61" s="10"/>
      <c r="L61" s="28"/>
      <c r="M61" s="6"/>
      <c r="N61" s="2"/>
    </row>
    <row r="62" spans="1:14" x14ac:dyDescent="0.2">
      <c r="A62" s="29">
        <v>80050</v>
      </c>
      <c r="B62" s="27"/>
      <c r="C62" s="28"/>
      <c r="D62" s="27"/>
      <c r="E62" s="2"/>
      <c r="F62" s="27"/>
      <c r="G62" s="28"/>
      <c r="H62" s="6"/>
      <c r="I62" s="10"/>
      <c r="J62" s="2"/>
      <c r="K62" s="10"/>
      <c r="L62" s="28"/>
      <c r="M62" s="6"/>
      <c r="N62" s="2"/>
    </row>
    <row r="63" spans="1:14" x14ac:dyDescent="0.2">
      <c r="A63" s="29">
        <v>90000</v>
      </c>
      <c r="B63" s="27"/>
      <c r="C63" s="28"/>
      <c r="D63" s="2"/>
      <c r="E63" s="2"/>
      <c r="F63" s="27"/>
      <c r="G63" s="28"/>
      <c r="H63" s="6"/>
      <c r="I63" s="10"/>
      <c r="J63" s="2"/>
      <c r="K63" s="10"/>
      <c r="L63" s="28"/>
      <c r="M63" s="6"/>
      <c r="N63" s="2"/>
    </row>
    <row r="64" spans="1:14" x14ac:dyDescent="0.2">
      <c r="A64" s="29">
        <v>90010</v>
      </c>
      <c r="B64" s="27"/>
      <c r="C64" s="28"/>
      <c r="D64" s="27"/>
      <c r="E64" s="2"/>
      <c r="F64" s="27"/>
      <c r="G64" s="28"/>
      <c r="H64" s="6"/>
      <c r="I64" s="10"/>
      <c r="J64" s="2"/>
      <c r="K64" s="10"/>
      <c r="L64" s="28"/>
      <c r="M64" s="6"/>
      <c r="N64" s="2"/>
    </row>
    <row r="65" spans="1:14" x14ac:dyDescent="0.2">
      <c r="A65" s="29">
        <v>90020</v>
      </c>
      <c r="B65" s="27"/>
      <c r="C65" s="28"/>
      <c r="D65" s="27"/>
      <c r="E65" s="2"/>
      <c r="F65" s="27"/>
      <c r="G65" s="28"/>
      <c r="H65" s="6"/>
      <c r="I65" s="10"/>
      <c r="J65" s="2"/>
      <c r="K65" s="10"/>
      <c r="L65" s="28"/>
      <c r="M65" s="6"/>
      <c r="N65" s="2"/>
    </row>
    <row r="66" spans="1:14" x14ac:dyDescent="0.2">
      <c r="A66" s="29">
        <v>90030</v>
      </c>
      <c r="B66" s="27"/>
      <c r="C66" s="28"/>
      <c r="D66" s="27"/>
      <c r="E66" s="2"/>
      <c r="F66" s="27"/>
      <c r="G66" s="28"/>
      <c r="H66" s="6"/>
      <c r="I66" s="10"/>
      <c r="J66" s="2"/>
      <c r="K66" s="10"/>
      <c r="L66" s="28"/>
      <c r="M66" s="6"/>
      <c r="N66" s="2"/>
    </row>
    <row r="67" spans="1:14" x14ac:dyDescent="0.2">
      <c r="A67" s="29">
        <v>90040</v>
      </c>
      <c r="B67" s="27"/>
      <c r="C67" s="28"/>
      <c r="D67" s="27"/>
      <c r="E67" s="2"/>
      <c r="F67" s="27"/>
      <c r="G67" s="28"/>
      <c r="H67" s="6"/>
      <c r="I67" s="10"/>
      <c r="J67" s="2"/>
      <c r="K67" s="10"/>
      <c r="L67" s="28"/>
      <c r="M67" s="6"/>
      <c r="N67" s="2"/>
    </row>
    <row r="68" spans="1:14" x14ac:dyDescent="0.2">
      <c r="A68" s="29">
        <v>90050</v>
      </c>
      <c r="B68" s="27"/>
      <c r="C68" s="28"/>
      <c r="D68" s="27"/>
      <c r="E68" s="2"/>
      <c r="F68" s="27"/>
      <c r="G68" s="28"/>
      <c r="H68" s="6"/>
      <c r="I68" s="10"/>
      <c r="J68" s="2"/>
      <c r="K68" s="10"/>
      <c r="L68" s="28"/>
      <c r="M68" s="6"/>
      <c r="N68" s="2"/>
    </row>
    <row r="69" spans="1:14" x14ac:dyDescent="0.2">
      <c r="A69" s="29">
        <v>100000</v>
      </c>
      <c r="B69" s="27"/>
      <c r="C69" s="28"/>
      <c r="D69" s="2"/>
      <c r="E69" s="2"/>
      <c r="F69" s="27"/>
      <c r="G69" s="28"/>
      <c r="H69" s="6"/>
      <c r="I69" s="10"/>
      <c r="J69" s="2"/>
      <c r="K69" s="10"/>
      <c r="L69" s="28"/>
      <c r="M69" s="6"/>
      <c r="N69" s="2"/>
    </row>
    <row r="70" spans="1:14" x14ac:dyDescent="0.2">
      <c r="A70" s="29">
        <v>100010</v>
      </c>
      <c r="B70" s="27"/>
      <c r="C70" s="28"/>
      <c r="D70" s="27"/>
      <c r="E70" s="2"/>
      <c r="F70" s="27"/>
      <c r="G70" s="28"/>
      <c r="H70" s="6"/>
      <c r="I70" s="10"/>
      <c r="J70" s="2"/>
      <c r="K70" s="10"/>
      <c r="L70" s="28"/>
      <c r="M70" s="6"/>
      <c r="N70" s="2"/>
    </row>
    <row r="71" spans="1:14" x14ac:dyDescent="0.2">
      <c r="A71" s="29">
        <v>100020</v>
      </c>
      <c r="B71" s="27"/>
      <c r="C71" s="28"/>
      <c r="D71" s="27"/>
      <c r="E71" s="2"/>
      <c r="F71" s="27"/>
      <c r="G71" s="28"/>
      <c r="H71" s="6"/>
      <c r="I71" s="10"/>
      <c r="J71" s="2"/>
      <c r="K71" s="10"/>
      <c r="L71" s="28"/>
      <c r="M71" s="6"/>
      <c r="N71" s="2"/>
    </row>
    <row r="72" spans="1:14" x14ac:dyDescent="0.2">
      <c r="A72" s="29">
        <v>100030</v>
      </c>
      <c r="B72" s="27"/>
      <c r="C72" s="28"/>
      <c r="D72" s="27"/>
      <c r="E72" s="2"/>
      <c r="F72" s="27"/>
      <c r="G72" s="28"/>
      <c r="H72" s="6"/>
      <c r="I72" s="10"/>
      <c r="J72" s="2"/>
      <c r="K72" s="10"/>
      <c r="L72" s="28"/>
      <c r="M72" s="6"/>
      <c r="N72" s="2"/>
    </row>
    <row r="73" spans="1:14" x14ac:dyDescent="0.2">
      <c r="A73" s="29">
        <v>100040</v>
      </c>
      <c r="B73" s="27"/>
      <c r="C73" s="28"/>
      <c r="D73" s="27"/>
      <c r="E73" s="2"/>
      <c r="F73" s="27"/>
      <c r="G73" s="28"/>
      <c r="H73" s="6"/>
      <c r="I73" s="10"/>
      <c r="J73" s="2"/>
      <c r="K73" s="10"/>
      <c r="L73" s="28"/>
      <c r="M73" s="6"/>
      <c r="N73" s="2"/>
    </row>
    <row r="74" spans="1:14" x14ac:dyDescent="0.2">
      <c r="A74" s="29">
        <v>100050</v>
      </c>
      <c r="B74" s="27"/>
      <c r="C74" s="28"/>
      <c r="D74" s="27"/>
      <c r="E74" s="2"/>
      <c r="F74" s="27"/>
      <c r="G74" s="28"/>
      <c r="H74" s="6"/>
      <c r="I74" s="10"/>
      <c r="J74" s="2"/>
      <c r="K74" s="10"/>
      <c r="L74" s="28"/>
      <c r="M74" s="6"/>
      <c r="N74" s="2"/>
    </row>
    <row r="75" spans="1:14" x14ac:dyDescent="0.2">
      <c r="A75" s="29">
        <v>110000</v>
      </c>
      <c r="B75" s="27"/>
      <c r="C75" s="28"/>
      <c r="D75" s="2"/>
      <c r="E75" s="2"/>
      <c r="F75" s="27"/>
      <c r="G75" s="28"/>
      <c r="H75" s="6"/>
      <c r="I75" s="10"/>
      <c r="J75" s="2"/>
      <c r="K75" s="10"/>
      <c r="L75" s="28"/>
      <c r="M75" s="6"/>
      <c r="N75" s="2"/>
    </row>
    <row r="76" spans="1:14" x14ac:dyDescent="0.2">
      <c r="A76" s="29">
        <v>110010</v>
      </c>
      <c r="B76" s="2"/>
      <c r="C76" s="10"/>
      <c r="D76" s="2"/>
      <c r="E76" s="2"/>
      <c r="F76" s="27"/>
      <c r="G76" s="28"/>
      <c r="H76" s="6"/>
      <c r="I76" s="10"/>
      <c r="J76" s="2"/>
      <c r="K76" s="10"/>
      <c r="L76" s="28"/>
      <c r="M76" s="6"/>
      <c r="N76" s="2"/>
    </row>
    <row r="77" spans="1:14" x14ac:dyDescent="0.2">
      <c r="A77" s="29">
        <v>110020</v>
      </c>
      <c r="B77" s="2"/>
      <c r="C77" s="10"/>
      <c r="D77" s="2"/>
      <c r="E77" s="2"/>
      <c r="F77" s="27"/>
      <c r="G77" s="28"/>
      <c r="H77" s="6"/>
      <c r="I77" s="10"/>
      <c r="J77" s="2"/>
      <c r="K77" s="10"/>
      <c r="L77" s="28"/>
      <c r="M77" s="6"/>
      <c r="N77" s="2"/>
    </row>
    <row r="78" spans="1:14" x14ac:dyDescent="0.2">
      <c r="A78" s="29">
        <v>110030</v>
      </c>
      <c r="B78" s="2"/>
      <c r="C78" s="10"/>
      <c r="D78" s="2"/>
      <c r="E78" s="2"/>
      <c r="F78" s="27"/>
      <c r="G78" s="28"/>
      <c r="H78" s="6"/>
      <c r="I78" s="10"/>
      <c r="J78" s="2"/>
      <c r="K78" s="10"/>
      <c r="L78" s="28"/>
      <c r="M78" s="6"/>
      <c r="N78" s="2"/>
    </row>
    <row r="79" spans="1:14" x14ac:dyDescent="0.2">
      <c r="A79" s="29">
        <v>110040</v>
      </c>
      <c r="B79" s="2"/>
      <c r="C79" s="10"/>
      <c r="D79" s="2"/>
      <c r="E79" s="2"/>
      <c r="F79" s="27"/>
      <c r="G79" s="28"/>
      <c r="H79" s="6"/>
      <c r="I79" s="10"/>
      <c r="J79" s="2"/>
      <c r="K79" s="10"/>
      <c r="L79" s="28"/>
      <c r="M79" s="6"/>
      <c r="N79" s="2"/>
    </row>
    <row r="80" spans="1:14" x14ac:dyDescent="0.2">
      <c r="A80" s="29">
        <v>110050</v>
      </c>
      <c r="B80" s="2"/>
      <c r="C80" s="10"/>
      <c r="D80" s="2"/>
      <c r="E80" s="2"/>
      <c r="F80" s="27"/>
      <c r="G80" s="28"/>
      <c r="H80" s="6"/>
      <c r="I80" s="10"/>
      <c r="J80" s="2"/>
      <c r="K80" s="10"/>
      <c r="L80" s="28"/>
      <c r="M80" s="6"/>
      <c r="N80" s="2"/>
    </row>
    <row r="81" spans="1:14" x14ac:dyDescent="0.2">
      <c r="A81" s="29">
        <v>120000</v>
      </c>
      <c r="B81" s="2"/>
      <c r="C81" s="10"/>
      <c r="D81" s="2"/>
      <c r="E81" s="2"/>
      <c r="F81" s="27"/>
      <c r="G81" s="28"/>
      <c r="H81" s="6"/>
      <c r="I81" s="10"/>
      <c r="J81" s="2"/>
      <c r="K81" s="10"/>
      <c r="L81" s="28"/>
      <c r="M81" s="6"/>
      <c r="N81" s="2"/>
    </row>
    <row r="82" spans="1:14" x14ac:dyDescent="0.2">
      <c r="A82" s="29">
        <v>120010</v>
      </c>
      <c r="B82" s="2"/>
      <c r="C82" s="10"/>
      <c r="D82" s="2"/>
      <c r="E82" s="2"/>
      <c r="F82" s="27"/>
      <c r="G82" s="28"/>
      <c r="H82" s="6"/>
      <c r="I82" s="10"/>
      <c r="J82" s="2"/>
      <c r="K82" s="10"/>
      <c r="L82" s="28"/>
      <c r="M82" s="6"/>
      <c r="N82" s="2"/>
    </row>
    <row r="83" spans="1:14" x14ac:dyDescent="0.2">
      <c r="A83" s="29">
        <v>120020</v>
      </c>
      <c r="B83" s="2"/>
      <c r="C83" s="10"/>
      <c r="D83" s="2"/>
      <c r="E83" s="2"/>
      <c r="F83" s="27"/>
      <c r="G83" s="28"/>
      <c r="H83" s="6"/>
      <c r="I83" s="10"/>
      <c r="J83" s="2"/>
      <c r="K83" s="10"/>
      <c r="L83" s="28"/>
      <c r="M83" s="6"/>
      <c r="N83" s="2"/>
    </row>
    <row r="84" spans="1:14" x14ac:dyDescent="0.2">
      <c r="A84" s="29">
        <v>120030</v>
      </c>
      <c r="B84" s="2"/>
      <c r="C84" s="10"/>
      <c r="D84" s="2"/>
      <c r="E84" s="2"/>
      <c r="F84" s="27"/>
      <c r="G84" s="28"/>
      <c r="H84" s="6"/>
      <c r="I84" s="10"/>
      <c r="J84" s="2"/>
      <c r="K84" s="10"/>
      <c r="L84" s="28"/>
      <c r="M84" s="6"/>
      <c r="N84" s="2"/>
    </row>
    <row r="85" spans="1:14" x14ac:dyDescent="0.2">
      <c r="A85" s="29">
        <v>120040</v>
      </c>
      <c r="B85" s="2"/>
      <c r="C85" s="10"/>
      <c r="D85" s="2"/>
      <c r="E85" s="2"/>
      <c r="F85" s="27"/>
      <c r="G85" s="28"/>
      <c r="H85" s="6"/>
      <c r="I85" s="10"/>
      <c r="J85" s="2"/>
      <c r="K85" s="10"/>
      <c r="L85" s="28"/>
      <c r="M85" s="6"/>
      <c r="N85" s="2"/>
    </row>
    <row r="86" spans="1:14" x14ac:dyDescent="0.2">
      <c r="A86" s="29">
        <v>120050</v>
      </c>
      <c r="B86" s="2"/>
      <c r="C86" s="10"/>
      <c r="D86" s="2"/>
      <c r="E86" s="2"/>
      <c r="F86" s="27"/>
      <c r="G86" s="28"/>
      <c r="H86" s="6"/>
      <c r="I86" s="10"/>
      <c r="J86" s="2"/>
      <c r="K86" s="10"/>
      <c r="L86" s="28"/>
      <c r="M86" s="6"/>
      <c r="N86" s="2"/>
    </row>
    <row r="87" spans="1:14" x14ac:dyDescent="0.2">
      <c r="A87" s="29">
        <v>130000</v>
      </c>
      <c r="B87" s="2"/>
      <c r="C87" s="10"/>
      <c r="D87" s="2"/>
      <c r="E87" s="2"/>
      <c r="F87" s="27"/>
      <c r="G87" s="28"/>
      <c r="H87" s="6"/>
      <c r="I87" s="10"/>
      <c r="J87" s="2"/>
      <c r="K87" s="10"/>
      <c r="L87" s="28"/>
      <c r="M87" s="6"/>
      <c r="N87" s="2"/>
    </row>
    <row r="88" spans="1:14" x14ac:dyDescent="0.2">
      <c r="A88" s="29">
        <v>130010</v>
      </c>
      <c r="B88" s="2"/>
      <c r="C88" s="10"/>
      <c r="D88" s="2"/>
      <c r="E88" s="2"/>
      <c r="F88" s="27"/>
      <c r="G88" s="28"/>
      <c r="H88" s="6"/>
      <c r="I88" s="10"/>
      <c r="J88" s="2"/>
      <c r="K88" s="10"/>
      <c r="L88" s="28"/>
      <c r="M88" s="6"/>
      <c r="N88" s="2"/>
    </row>
    <row r="89" spans="1:14" x14ac:dyDescent="0.2">
      <c r="A89" s="29">
        <v>130020</v>
      </c>
      <c r="B89" s="2"/>
      <c r="C89" s="10"/>
      <c r="D89" s="2"/>
      <c r="E89" s="2"/>
      <c r="F89" s="27"/>
      <c r="G89" s="28"/>
      <c r="H89" s="6"/>
      <c r="I89" s="10"/>
      <c r="J89" s="2"/>
      <c r="K89" s="10"/>
      <c r="L89" s="28"/>
      <c r="M89" s="6"/>
      <c r="N89" s="2"/>
    </row>
    <row r="90" spans="1:14" x14ac:dyDescent="0.2">
      <c r="A90" s="29">
        <v>130030</v>
      </c>
      <c r="B90" s="2"/>
      <c r="C90" s="10"/>
      <c r="D90" s="2"/>
      <c r="E90" s="2"/>
      <c r="F90" s="27"/>
      <c r="G90" s="28"/>
      <c r="H90" s="6"/>
      <c r="I90" s="10"/>
      <c r="J90" s="2"/>
      <c r="K90" s="10"/>
      <c r="L90" s="28"/>
      <c r="M90" s="6"/>
      <c r="N90" s="2"/>
    </row>
    <row r="91" spans="1:14" x14ac:dyDescent="0.2">
      <c r="A91" s="29">
        <v>130040</v>
      </c>
      <c r="B91" s="2"/>
      <c r="C91" s="10"/>
      <c r="D91" s="2"/>
      <c r="E91" s="2"/>
      <c r="F91" s="27"/>
      <c r="G91" s="28"/>
      <c r="H91" s="6"/>
      <c r="I91" s="10"/>
      <c r="J91" s="2"/>
      <c r="K91" s="10"/>
      <c r="L91" s="28"/>
      <c r="M91" s="6"/>
      <c r="N91" s="2"/>
    </row>
    <row r="92" spans="1:14" x14ac:dyDescent="0.2">
      <c r="A92" s="29">
        <v>130050</v>
      </c>
      <c r="B92" s="2"/>
      <c r="C92" s="10"/>
      <c r="D92" s="2"/>
      <c r="E92" s="2"/>
      <c r="F92" s="27"/>
      <c r="G92" s="28"/>
      <c r="H92" s="6"/>
      <c r="I92" s="10"/>
      <c r="J92" s="2"/>
      <c r="K92" s="10"/>
      <c r="L92" s="28"/>
      <c r="M92" s="6"/>
      <c r="N92" s="2"/>
    </row>
    <row r="93" spans="1:14" x14ac:dyDescent="0.2">
      <c r="A93" s="29">
        <v>140000</v>
      </c>
      <c r="B93" s="2"/>
      <c r="C93" s="10"/>
      <c r="D93" s="2"/>
      <c r="E93" s="2"/>
      <c r="F93" s="27"/>
      <c r="G93" s="28"/>
      <c r="H93" s="6"/>
      <c r="I93" s="10"/>
      <c r="J93" s="2"/>
      <c r="K93" s="10"/>
      <c r="L93" s="28"/>
      <c r="M93" s="6"/>
      <c r="N93" s="2"/>
    </row>
    <row r="94" spans="1:14" x14ac:dyDescent="0.2">
      <c r="A94" s="29">
        <v>140010</v>
      </c>
      <c r="B94" s="2"/>
      <c r="C94" s="10"/>
      <c r="D94" s="2"/>
      <c r="E94" s="2"/>
      <c r="F94" s="27"/>
      <c r="G94" s="28"/>
      <c r="H94" s="6"/>
      <c r="I94" s="10"/>
      <c r="J94" s="2"/>
      <c r="K94" s="10"/>
      <c r="L94" s="28"/>
      <c r="M94" s="6"/>
      <c r="N94" s="2"/>
    </row>
    <row r="95" spans="1:14" x14ac:dyDescent="0.2">
      <c r="A95" s="29">
        <v>140020</v>
      </c>
      <c r="B95" s="2"/>
      <c r="C95" s="10"/>
      <c r="D95" s="2"/>
      <c r="E95" s="2"/>
      <c r="F95" s="27"/>
      <c r="G95" s="28"/>
      <c r="H95" s="6"/>
      <c r="I95" s="10"/>
      <c r="J95" s="2"/>
      <c r="K95" s="10"/>
      <c r="L95" s="28"/>
      <c r="M95" s="6"/>
      <c r="N95" s="2"/>
    </row>
    <row r="96" spans="1:14" x14ac:dyDescent="0.2">
      <c r="A96" s="29">
        <v>140030</v>
      </c>
      <c r="B96" s="2"/>
      <c r="C96" s="10"/>
      <c r="D96" s="2"/>
      <c r="E96" s="2"/>
      <c r="F96" s="27"/>
      <c r="G96" s="28"/>
      <c r="H96" s="6"/>
      <c r="I96" s="10"/>
      <c r="J96" s="2"/>
      <c r="K96" s="10"/>
      <c r="L96" s="28"/>
      <c r="M96" s="6"/>
      <c r="N96" s="2"/>
    </row>
    <row r="97" spans="1:14" x14ac:dyDescent="0.2">
      <c r="A97" s="29">
        <v>140040</v>
      </c>
      <c r="B97" s="2"/>
      <c r="C97" s="10"/>
      <c r="D97" s="2"/>
      <c r="E97" s="2"/>
      <c r="F97" s="27"/>
      <c r="G97" s="28"/>
      <c r="H97" s="6"/>
      <c r="I97" s="10"/>
      <c r="J97" s="2"/>
      <c r="K97" s="10"/>
      <c r="L97" s="28"/>
      <c r="M97" s="6"/>
      <c r="N97" s="2"/>
    </row>
    <row r="98" spans="1:14" x14ac:dyDescent="0.2">
      <c r="A98" s="29">
        <v>140050</v>
      </c>
      <c r="B98" s="2"/>
      <c r="C98" s="10"/>
      <c r="D98" s="2"/>
      <c r="E98" s="2"/>
      <c r="F98" s="27"/>
      <c r="G98" s="28"/>
      <c r="H98" s="6"/>
      <c r="I98" s="10"/>
      <c r="J98" s="2"/>
      <c r="K98" s="10"/>
      <c r="L98" s="28"/>
      <c r="M98" s="6"/>
      <c r="N98" s="2"/>
    </row>
    <row r="99" spans="1:14" x14ac:dyDescent="0.2">
      <c r="A99" s="29">
        <v>150000</v>
      </c>
      <c r="B99" s="2"/>
      <c r="C99" s="10"/>
      <c r="D99" s="2"/>
      <c r="E99" s="2"/>
      <c r="F99" s="27"/>
      <c r="G99" s="28"/>
      <c r="H99" s="6"/>
      <c r="I99" s="10"/>
      <c r="J99" s="2"/>
      <c r="K99" s="10"/>
      <c r="L99" s="28"/>
      <c r="M99" s="6"/>
      <c r="N99" s="2"/>
    </row>
    <row r="100" spans="1:14" x14ac:dyDescent="0.2">
      <c r="A100" s="29">
        <v>150010</v>
      </c>
      <c r="B100" s="2"/>
      <c r="C100" s="10"/>
      <c r="D100" s="2"/>
      <c r="E100" s="2"/>
      <c r="F100" s="27"/>
      <c r="G100" s="28"/>
      <c r="H100" s="6"/>
      <c r="I100" s="10"/>
      <c r="J100" s="2"/>
      <c r="K100" s="10"/>
      <c r="L100" s="28"/>
      <c r="M100" s="6"/>
      <c r="N100" s="2"/>
    </row>
    <row r="101" spans="1:14" x14ac:dyDescent="0.2">
      <c r="A101" s="29">
        <v>150020</v>
      </c>
      <c r="B101" s="2"/>
      <c r="C101" s="10"/>
      <c r="D101" s="2"/>
      <c r="E101" s="2"/>
      <c r="F101" s="27"/>
      <c r="G101" s="28"/>
      <c r="H101" s="6"/>
      <c r="I101" s="10"/>
      <c r="J101" s="2"/>
      <c r="K101" s="10"/>
      <c r="L101" s="28"/>
      <c r="M101" s="6"/>
      <c r="N101" s="2"/>
    </row>
    <row r="102" spans="1:14" x14ac:dyDescent="0.2">
      <c r="A102" s="29">
        <v>150030</v>
      </c>
      <c r="B102" s="2"/>
      <c r="C102" s="10"/>
      <c r="D102" s="2"/>
      <c r="E102" s="2"/>
      <c r="F102" s="27"/>
      <c r="G102" s="28"/>
      <c r="H102" s="6"/>
      <c r="I102" s="10"/>
      <c r="J102" s="2"/>
      <c r="K102" s="10"/>
      <c r="L102" s="28"/>
      <c r="M102" s="6"/>
      <c r="N102" s="2"/>
    </row>
    <row r="103" spans="1:14" x14ac:dyDescent="0.2">
      <c r="A103" s="29">
        <v>150040</v>
      </c>
      <c r="B103" s="2"/>
      <c r="C103" s="10"/>
      <c r="D103" s="2"/>
      <c r="E103" s="2"/>
      <c r="F103" s="27"/>
      <c r="G103" s="28"/>
      <c r="H103" s="6"/>
      <c r="I103" s="10"/>
      <c r="J103" s="2"/>
      <c r="K103" s="10"/>
      <c r="L103" s="28"/>
      <c r="M103" s="6"/>
      <c r="N103" s="2"/>
    </row>
    <row r="104" spans="1:14" x14ac:dyDescent="0.2">
      <c r="A104" s="29">
        <v>150050</v>
      </c>
      <c r="B104" s="2"/>
      <c r="C104" s="10"/>
      <c r="D104" s="2"/>
      <c r="E104" s="2"/>
      <c r="F104" s="27"/>
      <c r="G104" s="28"/>
      <c r="H104" s="6"/>
      <c r="I104" s="10"/>
      <c r="J104" s="2"/>
      <c r="K104" s="10"/>
      <c r="L104" s="28"/>
      <c r="M104" s="6"/>
      <c r="N104" s="2"/>
    </row>
    <row r="105" spans="1:14" x14ac:dyDescent="0.2">
      <c r="A105" s="29">
        <v>160000</v>
      </c>
      <c r="B105" s="2"/>
      <c r="C105" s="10"/>
      <c r="D105" s="2"/>
      <c r="E105" s="2"/>
      <c r="F105" s="27"/>
      <c r="G105" s="28"/>
      <c r="H105" s="6"/>
      <c r="I105" s="10"/>
      <c r="J105" s="2"/>
      <c r="K105" s="10"/>
      <c r="L105" s="28"/>
      <c r="M105" s="6"/>
      <c r="N105" s="2"/>
    </row>
    <row r="106" spans="1:14" x14ac:dyDescent="0.2">
      <c r="A106" s="29">
        <v>160010</v>
      </c>
      <c r="B106" s="2"/>
      <c r="C106" s="10"/>
      <c r="D106" s="2"/>
      <c r="E106" s="2"/>
      <c r="F106" s="27"/>
      <c r="G106" s="28"/>
      <c r="H106" s="6"/>
      <c r="I106" s="10"/>
      <c r="J106" s="2"/>
      <c r="K106" s="10"/>
      <c r="L106" s="28"/>
      <c r="M106" s="6"/>
      <c r="N106" s="2"/>
    </row>
    <row r="107" spans="1:14" x14ac:dyDescent="0.2">
      <c r="A107" s="29">
        <v>160020</v>
      </c>
      <c r="B107" s="2"/>
      <c r="C107" s="10"/>
      <c r="D107" s="2"/>
      <c r="E107" s="2"/>
      <c r="F107" s="27"/>
      <c r="G107" s="28"/>
      <c r="H107" s="6"/>
      <c r="I107" s="10"/>
      <c r="J107" s="2"/>
      <c r="K107" s="10"/>
      <c r="L107" s="28"/>
      <c r="M107" s="6"/>
      <c r="N107" s="2"/>
    </row>
    <row r="108" spans="1:14" x14ac:dyDescent="0.2">
      <c r="A108" s="29">
        <v>160030</v>
      </c>
      <c r="B108" s="2"/>
      <c r="C108" s="10"/>
      <c r="D108" s="2"/>
      <c r="E108" s="2"/>
      <c r="F108" s="27"/>
      <c r="G108" s="28"/>
      <c r="H108" s="6"/>
      <c r="I108" s="10"/>
      <c r="J108" s="2"/>
      <c r="K108" s="10"/>
      <c r="L108" s="28"/>
      <c r="M108" s="6"/>
      <c r="N108" s="2"/>
    </row>
    <row r="109" spans="1:14" x14ac:dyDescent="0.2">
      <c r="A109" s="29">
        <v>160040</v>
      </c>
      <c r="B109" s="2"/>
      <c r="C109" s="10"/>
      <c r="D109" s="2"/>
      <c r="E109" s="2"/>
      <c r="F109" s="27"/>
      <c r="G109" s="28"/>
      <c r="H109" s="6"/>
      <c r="I109" s="10"/>
      <c r="J109" s="2"/>
      <c r="K109" s="10"/>
      <c r="L109" s="28"/>
      <c r="M109" s="6"/>
      <c r="N109" s="2"/>
    </row>
    <row r="110" spans="1:14" x14ac:dyDescent="0.2">
      <c r="A110" s="29">
        <v>160050</v>
      </c>
      <c r="B110" s="2"/>
      <c r="C110" s="10"/>
      <c r="D110" s="2"/>
      <c r="E110" s="2"/>
      <c r="F110" s="27"/>
      <c r="G110" s="28"/>
      <c r="H110" s="6"/>
      <c r="I110" s="10"/>
      <c r="J110" s="2"/>
      <c r="K110" s="10"/>
      <c r="L110" s="28"/>
      <c r="M110" s="6"/>
      <c r="N110" s="2"/>
    </row>
    <row r="111" spans="1:14" x14ac:dyDescent="0.2">
      <c r="A111" s="29">
        <v>170000</v>
      </c>
      <c r="B111" s="2"/>
      <c r="C111" s="10"/>
      <c r="D111" s="2"/>
      <c r="E111" s="2"/>
      <c r="F111" s="27"/>
      <c r="G111" s="28"/>
      <c r="H111" s="6"/>
      <c r="I111" s="10"/>
      <c r="J111" s="2"/>
      <c r="K111" s="10"/>
      <c r="L111" s="28"/>
      <c r="M111" s="6"/>
      <c r="N111" s="2"/>
    </row>
    <row r="112" spans="1:14" x14ac:dyDescent="0.2">
      <c r="A112" s="29">
        <v>170010</v>
      </c>
      <c r="B112" s="2"/>
      <c r="C112" s="10"/>
      <c r="D112" s="2"/>
      <c r="E112" s="2"/>
      <c r="F112" s="27"/>
      <c r="G112" s="28"/>
      <c r="H112" s="6"/>
      <c r="I112" s="10"/>
      <c r="J112" s="2"/>
      <c r="K112" s="10"/>
      <c r="L112" s="28"/>
      <c r="M112" s="6"/>
      <c r="N112" s="2"/>
    </row>
    <row r="113" spans="1:14" x14ac:dyDescent="0.2">
      <c r="A113" s="29">
        <v>170020</v>
      </c>
      <c r="B113" s="2"/>
      <c r="C113" s="10"/>
      <c r="D113" s="2"/>
      <c r="E113" s="2"/>
      <c r="F113" s="27"/>
      <c r="G113" s="28"/>
      <c r="H113" s="6"/>
      <c r="I113" s="10"/>
      <c r="J113" s="2"/>
      <c r="K113" s="10"/>
      <c r="L113" s="28"/>
      <c r="M113" s="6"/>
      <c r="N113" s="2"/>
    </row>
    <row r="114" spans="1:14" x14ac:dyDescent="0.2">
      <c r="A114" s="29">
        <v>170030</v>
      </c>
      <c r="B114" s="2"/>
      <c r="C114" s="10"/>
      <c r="D114" s="2"/>
      <c r="E114" s="2"/>
      <c r="F114" s="27"/>
      <c r="G114" s="28"/>
      <c r="H114" s="6"/>
      <c r="I114" s="10"/>
      <c r="J114" s="2"/>
      <c r="K114" s="10"/>
      <c r="L114" s="28"/>
      <c r="M114" s="6"/>
      <c r="N114" s="2"/>
    </row>
    <row r="115" spans="1:14" x14ac:dyDescent="0.2">
      <c r="A115" s="29">
        <v>170040</v>
      </c>
      <c r="B115" s="2"/>
      <c r="C115" s="10"/>
      <c r="D115" s="2"/>
      <c r="E115" s="2"/>
      <c r="F115" s="27"/>
      <c r="G115" s="28"/>
      <c r="H115" s="6"/>
      <c r="I115" s="10"/>
      <c r="J115" s="2"/>
      <c r="K115" s="10"/>
      <c r="L115" s="28"/>
      <c r="M115" s="6"/>
      <c r="N115" s="2"/>
    </row>
    <row r="116" spans="1:14" x14ac:dyDescent="0.2">
      <c r="A116" s="29">
        <v>170050</v>
      </c>
      <c r="B116" s="2"/>
      <c r="C116" s="10"/>
      <c r="D116" s="2"/>
      <c r="E116" s="2"/>
      <c r="F116" s="27"/>
      <c r="G116" s="28"/>
      <c r="H116" s="6"/>
      <c r="I116" s="10"/>
      <c r="J116" s="2"/>
      <c r="K116" s="10"/>
      <c r="L116" s="28"/>
      <c r="M116" s="6"/>
      <c r="N116" s="2"/>
    </row>
    <row r="117" spans="1:14" x14ac:dyDescent="0.2">
      <c r="A117" s="29">
        <v>180000</v>
      </c>
      <c r="B117" s="2"/>
      <c r="C117" s="10"/>
      <c r="D117" s="2"/>
      <c r="E117" s="2"/>
      <c r="F117" s="27"/>
      <c r="G117" s="28"/>
      <c r="H117" s="6"/>
      <c r="I117" s="10"/>
      <c r="J117" s="2"/>
      <c r="K117" s="10"/>
      <c r="L117" s="28"/>
      <c r="M117" s="6"/>
      <c r="N117" s="2"/>
    </row>
    <row r="118" spans="1:14" x14ac:dyDescent="0.2">
      <c r="A118" s="29">
        <v>180010</v>
      </c>
      <c r="B118" s="2"/>
      <c r="C118" s="10"/>
      <c r="D118" s="2"/>
      <c r="E118" s="2"/>
      <c r="F118" s="27"/>
      <c r="G118" s="28"/>
      <c r="H118" s="6"/>
      <c r="I118" s="10"/>
      <c r="J118" s="2"/>
      <c r="K118" s="10"/>
      <c r="L118" s="28"/>
      <c r="M118" s="6"/>
      <c r="N118" s="2"/>
    </row>
    <row r="119" spans="1:14" x14ac:dyDescent="0.2">
      <c r="A119" s="29">
        <v>180020</v>
      </c>
      <c r="B119" s="2"/>
      <c r="C119" s="10"/>
      <c r="D119" s="2"/>
      <c r="E119" s="2"/>
      <c r="F119" s="27"/>
      <c r="G119" s="28"/>
      <c r="H119" s="6"/>
      <c r="I119" s="10"/>
      <c r="J119" s="2"/>
      <c r="K119" s="10"/>
      <c r="L119" s="28"/>
      <c r="M119" s="6"/>
      <c r="N119" s="2"/>
    </row>
    <row r="120" spans="1:14" x14ac:dyDescent="0.2">
      <c r="A120" s="29">
        <v>180030</v>
      </c>
      <c r="B120" s="2"/>
      <c r="C120" s="10"/>
      <c r="D120" s="2"/>
      <c r="E120" s="2"/>
      <c r="F120" s="27"/>
      <c r="G120" s="28"/>
      <c r="H120" s="6"/>
      <c r="I120" s="10"/>
      <c r="J120" s="2"/>
      <c r="K120" s="10"/>
      <c r="L120" s="28"/>
      <c r="M120" s="6"/>
      <c r="N120" s="2"/>
    </row>
    <row r="121" spans="1:14" x14ac:dyDescent="0.2">
      <c r="A121" s="29">
        <v>180040</v>
      </c>
      <c r="B121" s="2"/>
      <c r="C121" s="10"/>
      <c r="D121" s="2"/>
      <c r="E121" s="2"/>
      <c r="F121" s="27"/>
      <c r="G121" s="28"/>
      <c r="H121" s="6"/>
      <c r="I121" s="10"/>
      <c r="J121" s="2"/>
      <c r="K121" s="10"/>
      <c r="L121" s="28"/>
      <c r="M121" s="6"/>
      <c r="N121" s="2"/>
    </row>
    <row r="122" spans="1:14" x14ac:dyDescent="0.2">
      <c r="A122" s="29">
        <v>180050</v>
      </c>
      <c r="B122" s="2"/>
      <c r="C122" s="10"/>
      <c r="D122" s="2"/>
      <c r="E122" s="2"/>
      <c r="F122" s="27"/>
      <c r="G122" s="28"/>
      <c r="H122" s="6"/>
      <c r="I122" s="10"/>
      <c r="J122" s="2"/>
      <c r="K122" s="10"/>
      <c r="L122" s="28"/>
      <c r="M122" s="6"/>
      <c r="N122" s="2"/>
    </row>
    <row r="123" spans="1:14" x14ac:dyDescent="0.2">
      <c r="A123" s="29">
        <v>190000</v>
      </c>
      <c r="B123" s="2"/>
      <c r="C123" s="10"/>
      <c r="D123" s="2"/>
      <c r="E123" s="2"/>
      <c r="F123" s="27"/>
      <c r="G123" s="28"/>
      <c r="H123" s="6"/>
      <c r="I123" s="10"/>
      <c r="J123" s="2"/>
      <c r="K123" s="10"/>
      <c r="L123" s="28"/>
      <c r="M123" s="6"/>
      <c r="N123" s="2"/>
    </row>
    <row r="124" spans="1:14" x14ac:dyDescent="0.2">
      <c r="A124" s="29">
        <v>190010</v>
      </c>
      <c r="B124" s="2"/>
      <c r="C124" s="10"/>
      <c r="D124" s="2"/>
      <c r="E124" s="2"/>
      <c r="F124" s="27"/>
      <c r="G124" s="28"/>
      <c r="H124" s="6"/>
      <c r="I124" s="10"/>
      <c r="J124" s="2"/>
      <c r="K124" s="10"/>
      <c r="L124" s="28"/>
      <c r="M124" s="6"/>
      <c r="N124" s="2"/>
    </row>
    <row r="125" spans="1:14" x14ac:dyDescent="0.2">
      <c r="A125" s="29">
        <v>190020</v>
      </c>
      <c r="B125" s="2"/>
      <c r="C125" s="10"/>
      <c r="D125" s="2"/>
      <c r="E125" s="2"/>
      <c r="F125" s="27"/>
      <c r="G125" s="28"/>
      <c r="H125" s="6"/>
      <c r="I125" s="10"/>
      <c r="J125" s="2"/>
      <c r="K125" s="10"/>
      <c r="L125" s="28"/>
      <c r="M125" s="6"/>
      <c r="N125" s="2"/>
    </row>
    <row r="126" spans="1:14" x14ac:dyDescent="0.2">
      <c r="A126" s="29">
        <v>190030</v>
      </c>
      <c r="B126" s="2"/>
      <c r="C126" s="10"/>
      <c r="D126" s="2"/>
      <c r="E126" s="2"/>
      <c r="F126" s="27"/>
      <c r="G126" s="28"/>
      <c r="H126" s="6"/>
      <c r="I126" s="10"/>
      <c r="J126" s="2"/>
      <c r="K126" s="10"/>
      <c r="L126" s="28"/>
      <c r="M126" s="6"/>
      <c r="N126" s="2"/>
    </row>
    <row r="127" spans="1:14" x14ac:dyDescent="0.2">
      <c r="A127" s="29">
        <v>190040</v>
      </c>
      <c r="B127" s="2"/>
      <c r="C127" s="10"/>
      <c r="D127" s="2"/>
      <c r="E127" s="2"/>
      <c r="F127" s="27"/>
      <c r="G127" s="28"/>
      <c r="H127" s="6"/>
      <c r="I127" s="10"/>
      <c r="J127" s="2"/>
      <c r="K127" s="10"/>
      <c r="L127" s="28"/>
      <c r="M127" s="6"/>
      <c r="N127" s="2"/>
    </row>
    <row r="128" spans="1:14" x14ac:dyDescent="0.2">
      <c r="A128" s="29">
        <v>190050</v>
      </c>
      <c r="B128" s="2"/>
      <c r="C128" s="10"/>
      <c r="D128" s="2"/>
      <c r="E128" s="2"/>
      <c r="F128" s="27"/>
      <c r="G128" s="28"/>
      <c r="H128" s="6"/>
      <c r="I128" s="10"/>
      <c r="J128" s="2"/>
      <c r="K128" s="10"/>
      <c r="L128" s="28"/>
      <c r="M128" s="6"/>
      <c r="N128" s="2"/>
    </row>
    <row r="129" spans="1:14" x14ac:dyDescent="0.2">
      <c r="A129" s="29">
        <v>200000</v>
      </c>
      <c r="B129" s="2"/>
      <c r="C129" s="10"/>
      <c r="D129" s="2"/>
      <c r="E129" s="2"/>
      <c r="F129" s="27"/>
      <c r="G129" s="28"/>
      <c r="H129" s="6"/>
      <c r="I129" s="10"/>
      <c r="J129" s="2"/>
      <c r="K129" s="10"/>
      <c r="L129" s="28"/>
      <c r="M129" s="6"/>
      <c r="N129" s="2"/>
    </row>
    <row r="130" spans="1:14" x14ac:dyDescent="0.2">
      <c r="A130" s="29">
        <v>200010</v>
      </c>
      <c r="B130" s="2"/>
      <c r="C130" s="10"/>
      <c r="D130" s="2"/>
      <c r="E130" s="2"/>
      <c r="F130" s="27"/>
      <c r="G130" s="28"/>
      <c r="H130" s="6"/>
      <c r="I130" s="10"/>
      <c r="J130" s="2"/>
      <c r="K130" s="10"/>
      <c r="L130" s="28"/>
      <c r="M130" s="6"/>
      <c r="N130" s="2"/>
    </row>
    <row r="131" spans="1:14" x14ac:dyDescent="0.2">
      <c r="A131" s="29">
        <v>200020</v>
      </c>
      <c r="B131" s="2"/>
      <c r="C131" s="10"/>
      <c r="D131" s="2"/>
      <c r="E131" s="2"/>
      <c r="F131" s="27"/>
      <c r="G131" s="28"/>
      <c r="H131" s="6"/>
      <c r="I131" s="10"/>
      <c r="J131" s="2"/>
      <c r="K131" s="10"/>
      <c r="L131" s="28"/>
      <c r="M131" s="6"/>
      <c r="N131" s="2"/>
    </row>
    <row r="132" spans="1:14" x14ac:dyDescent="0.2">
      <c r="A132" s="29">
        <v>200030</v>
      </c>
      <c r="B132" s="2"/>
      <c r="C132" s="10"/>
      <c r="D132" s="2"/>
      <c r="E132" s="2"/>
      <c r="F132" s="27"/>
      <c r="G132" s="28"/>
      <c r="H132" s="6"/>
      <c r="I132" s="10"/>
      <c r="J132" s="2"/>
      <c r="K132" s="10"/>
      <c r="L132" s="28"/>
      <c r="M132" s="6"/>
      <c r="N132" s="2"/>
    </row>
    <row r="133" spans="1:14" x14ac:dyDescent="0.2">
      <c r="A133" s="29">
        <v>200040</v>
      </c>
      <c r="B133" s="2"/>
      <c r="C133" s="10"/>
      <c r="D133" s="2"/>
      <c r="E133" s="2"/>
      <c r="F133" s="27"/>
      <c r="G133" s="28"/>
      <c r="H133" s="6"/>
      <c r="I133" s="10"/>
      <c r="J133" s="2"/>
      <c r="K133" s="10"/>
      <c r="L133" s="28"/>
      <c r="M133" s="6"/>
      <c r="N133" s="2"/>
    </row>
    <row r="134" spans="1:14" x14ac:dyDescent="0.2">
      <c r="A134" s="29">
        <v>200050</v>
      </c>
      <c r="B134" s="2"/>
      <c r="C134" s="10"/>
      <c r="D134" s="2"/>
      <c r="E134" s="2"/>
      <c r="F134" s="27"/>
      <c r="G134" s="28"/>
      <c r="H134" s="6"/>
      <c r="I134" s="10"/>
      <c r="J134" s="2"/>
      <c r="K134" s="10"/>
      <c r="L134" s="28"/>
      <c r="M134" s="6"/>
      <c r="N134" s="2"/>
    </row>
    <row r="135" spans="1:14" x14ac:dyDescent="0.2">
      <c r="A135" s="29">
        <v>210000</v>
      </c>
      <c r="B135" s="2"/>
      <c r="C135" s="10"/>
      <c r="D135" s="2"/>
      <c r="E135" s="2"/>
      <c r="F135" s="27"/>
      <c r="G135" s="28"/>
      <c r="H135" s="6"/>
      <c r="I135" s="10"/>
      <c r="J135" s="2"/>
      <c r="K135" s="10"/>
      <c r="L135" s="28"/>
      <c r="M135" s="6"/>
      <c r="N135" s="2"/>
    </row>
    <row r="136" spans="1:14" x14ac:dyDescent="0.2">
      <c r="A136" s="29">
        <v>210010</v>
      </c>
      <c r="B136" s="2"/>
      <c r="C136" s="10"/>
      <c r="D136" s="2"/>
      <c r="E136" s="2"/>
      <c r="F136" s="27"/>
      <c r="G136" s="28"/>
      <c r="H136" s="6"/>
      <c r="I136" s="10"/>
      <c r="J136" s="2"/>
      <c r="K136" s="10"/>
      <c r="L136" s="28"/>
      <c r="M136" s="6"/>
      <c r="N136" s="2"/>
    </row>
    <row r="137" spans="1:14" x14ac:dyDescent="0.2">
      <c r="A137" s="29">
        <v>210020</v>
      </c>
      <c r="B137" s="2"/>
      <c r="C137" s="10"/>
      <c r="D137" s="2"/>
      <c r="E137" s="2"/>
      <c r="F137" s="27"/>
      <c r="G137" s="28"/>
      <c r="H137" s="6"/>
      <c r="I137" s="10"/>
      <c r="J137" s="2"/>
      <c r="K137" s="10"/>
      <c r="L137" s="28"/>
      <c r="M137" s="6"/>
      <c r="N137" s="2"/>
    </row>
    <row r="138" spans="1:14" x14ac:dyDescent="0.2">
      <c r="A138" s="29">
        <v>210030</v>
      </c>
      <c r="B138" s="2"/>
      <c r="C138" s="10"/>
      <c r="D138" s="2"/>
      <c r="E138" s="2"/>
      <c r="F138" s="27"/>
      <c r="G138" s="28"/>
      <c r="H138" s="6"/>
      <c r="I138" s="10"/>
      <c r="J138" s="2"/>
      <c r="K138" s="10"/>
      <c r="L138" s="28"/>
      <c r="M138" s="6"/>
      <c r="N138" s="2"/>
    </row>
    <row r="139" spans="1:14" x14ac:dyDescent="0.2">
      <c r="A139" s="29">
        <v>210040</v>
      </c>
      <c r="B139" s="2"/>
      <c r="C139" s="10"/>
      <c r="D139" s="2"/>
      <c r="E139" s="2"/>
      <c r="F139" s="27"/>
      <c r="G139" s="28"/>
      <c r="H139" s="6"/>
      <c r="I139" s="10"/>
      <c r="J139" s="2"/>
      <c r="K139" s="10"/>
      <c r="L139" s="28"/>
      <c r="M139" s="6"/>
      <c r="N139" s="2"/>
    </row>
    <row r="140" spans="1:14" x14ac:dyDescent="0.2">
      <c r="A140" s="29">
        <v>210050</v>
      </c>
      <c r="B140" s="2"/>
      <c r="C140" s="10"/>
      <c r="D140" s="2"/>
      <c r="E140" s="2"/>
      <c r="F140" s="27"/>
      <c r="G140" s="28"/>
      <c r="H140" s="6"/>
      <c r="I140" s="10"/>
      <c r="J140" s="2"/>
      <c r="K140" s="10"/>
      <c r="L140" s="28"/>
      <c r="M140" s="6"/>
      <c r="N140" s="2"/>
    </row>
    <row r="141" spans="1:14" x14ac:dyDescent="0.2">
      <c r="A141" s="29">
        <v>220000</v>
      </c>
      <c r="B141" s="2"/>
      <c r="C141" s="10"/>
      <c r="D141" s="2"/>
      <c r="E141" s="2"/>
      <c r="F141" s="27"/>
      <c r="G141" s="28"/>
      <c r="H141" s="6"/>
      <c r="I141" s="10"/>
      <c r="J141" s="2"/>
      <c r="K141" s="10"/>
      <c r="L141" s="28"/>
      <c r="M141" s="6"/>
      <c r="N141" s="2"/>
    </row>
    <row r="142" spans="1:14" x14ac:dyDescent="0.2">
      <c r="A142" s="29">
        <v>220010</v>
      </c>
      <c r="B142" s="2"/>
      <c r="C142" s="10"/>
      <c r="D142" s="2"/>
      <c r="E142" s="2"/>
      <c r="F142" s="27"/>
      <c r="G142" s="28"/>
      <c r="H142" s="6"/>
      <c r="I142" s="10"/>
      <c r="J142" s="2"/>
      <c r="K142" s="10"/>
      <c r="L142" s="28"/>
      <c r="M142" s="6"/>
      <c r="N142" s="2"/>
    </row>
    <row r="143" spans="1:14" x14ac:dyDescent="0.2">
      <c r="A143" s="29">
        <v>220020</v>
      </c>
      <c r="B143" s="2"/>
      <c r="C143" s="10"/>
      <c r="D143" s="2"/>
      <c r="E143" s="2"/>
      <c r="F143" s="27"/>
      <c r="G143" s="28"/>
      <c r="H143" s="6"/>
      <c r="I143" s="10"/>
      <c r="J143" s="2"/>
      <c r="K143" s="10"/>
      <c r="L143" s="28"/>
      <c r="M143" s="6"/>
      <c r="N143" s="2"/>
    </row>
    <row r="144" spans="1:14" x14ac:dyDescent="0.2">
      <c r="A144" s="29">
        <v>220030</v>
      </c>
      <c r="B144" s="2"/>
      <c r="C144" s="10"/>
      <c r="D144" s="2"/>
      <c r="E144" s="2"/>
      <c r="F144" s="27"/>
      <c r="G144" s="28"/>
      <c r="H144" s="6"/>
      <c r="I144" s="10"/>
      <c r="J144" s="2"/>
      <c r="K144" s="10"/>
      <c r="L144" s="28"/>
      <c r="M144" s="6"/>
      <c r="N144" s="2"/>
    </row>
    <row r="145" spans="1:14" x14ac:dyDescent="0.2">
      <c r="A145" s="29">
        <v>220040</v>
      </c>
      <c r="B145" s="2"/>
      <c r="C145" s="10"/>
      <c r="D145" s="2"/>
      <c r="E145" s="2"/>
      <c r="F145" s="27"/>
      <c r="G145" s="28"/>
      <c r="H145" s="6"/>
      <c r="I145" s="10"/>
      <c r="J145" s="2"/>
      <c r="K145" s="10"/>
      <c r="L145" s="28"/>
      <c r="M145" s="6"/>
      <c r="N145" s="2"/>
    </row>
    <row r="146" spans="1:14" x14ac:dyDescent="0.2">
      <c r="A146" s="29">
        <v>220050</v>
      </c>
      <c r="B146" s="2"/>
      <c r="C146" s="10"/>
      <c r="D146" s="2"/>
      <c r="E146" s="2"/>
      <c r="F146" s="27"/>
      <c r="G146" s="28"/>
      <c r="H146" s="6"/>
      <c r="I146" s="10"/>
      <c r="J146" s="2"/>
      <c r="K146" s="10"/>
      <c r="L146" s="28"/>
      <c r="M146" s="6"/>
      <c r="N146" s="2"/>
    </row>
    <row r="147" spans="1:14" x14ac:dyDescent="0.2">
      <c r="A147" s="29">
        <v>230000</v>
      </c>
      <c r="B147" s="2"/>
      <c r="C147" s="10"/>
      <c r="D147" s="2"/>
      <c r="E147" s="2"/>
      <c r="F147" s="27"/>
      <c r="G147" s="28"/>
      <c r="H147" s="6"/>
      <c r="I147" s="10"/>
      <c r="J147" s="2"/>
      <c r="K147" s="10"/>
      <c r="L147" s="28"/>
      <c r="M147" s="6"/>
      <c r="N147" s="2"/>
    </row>
    <row r="148" spans="1:14" x14ac:dyDescent="0.2">
      <c r="A148" s="29">
        <v>230010</v>
      </c>
      <c r="B148" s="2"/>
      <c r="C148" s="10"/>
      <c r="D148" s="2"/>
      <c r="E148" s="2"/>
      <c r="F148" s="27"/>
      <c r="G148" s="28"/>
      <c r="H148" s="6"/>
      <c r="I148" s="10"/>
      <c r="J148" s="2"/>
      <c r="K148" s="10"/>
      <c r="L148" s="28"/>
      <c r="M148" s="6"/>
      <c r="N148" s="2"/>
    </row>
    <row r="149" spans="1:14" x14ac:dyDescent="0.2">
      <c r="A149" s="29">
        <v>230020</v>
      </c>
      <c r="B149" s="2"/>
      <c r="C149" s="10"/>
      <c r="D149" s="2"/>
      <c r="E149" s="2"/>
      <c r="F149" s="27"/>
      <c r="G149" s="28"/>
      <c r="H149" s="6"/>
      <c r="I149" s="10"/>
      <c r="J149" s="2"/>
      <c r="K149" s="10"/>
      <c r="L149" s="28"/>
      <c r="M149" s="6"/>
      <c r="N149" s="2"/>
    </row>
    <row r="150" spans="1:14" x14ac:dyDescent="0.2">
      <c r="A150" s="29">
        <v>230030</v>
      </c>
      <c r="B150" s="2"/>
      <c r="C150" s="10"/>
      <c r="D150" s="2"/>
      <c r="E150" s="2"/>
      <c r="F150" s="27"/>
      <c r="G150" s="28"/>
      <c r="H150" s="6"/>
      <c r="I150" s="10"/>
      <c r="J150" s="2"/>
      <c r="K150" s="10"/>
      <c r="L150" s="28"/>
      <c r="M150" s="6"/>
      <c r="N150" s="2"/>
    </row>
    <row r="151" spans="1:14" x14ac:dyDescent="0.2">
      <c r="A151" s="29">
        <v>230040</v>
      </c>
      <c r="B151" s="2"/>
      <c r="C151" s="10"/>
      <c r="D151" s="2"/>
      <c r="E151" s="2"/>
      <c r="F151" s="27"/>
      <c r="G151" s="28"/>
      <c r="H151" s="6"/>
      <c r="I151" s="10"/>
      <c r="J151" s="2"/>
      <c r="K151" s="10"/>
      <c r="L151" s="28"/>
      <c r="M151" s="6"/>
      <c r="N151" s="2"/>
    </row>
    <row r="152" spans="1:14" x14ac:dyDescent="0.2">
      <c r="A152" s="29">
        <v>230050</v>
      </c>
      <c r="B152" s="2"/>
      <c r="C152" s="10"/>
      <c r="D152" s="2"/>
      <c r="E152" s="2"/>
      <c r="F152" s="27"/>
      <c r="G152" s="28"/>
      <c r="H152" s="6"/>
      <c r="I152" s="10"/>
      <c r="J152" s="2"/>
      <c r="K152" s="10"/>
      <c r="L152" s="28"/>
      <c r="M152" s="6"/>
      <c r="N152" s="2"/>
    </row>
    <row r="153" spans="1:14" x14ac:dyDescent="0.2">
      <c r="A153" s="29">
        <v>240000</v>
      </c>
      <c r="B153" s="2"/>
      <c r="C153" s="10"/>
      <c r="D153" s="2"/>
      <c r="E153" s="2"/>
      <c r="F153" s="27"/>
      <c r="G153" s="28"/>
      <c r="H153" s="6"/>
      <c r="I153" s="10"/>
      <c r="J153" s="2"/>
      <c r="K153" s="10"/>
      <c r="L153" s="28"/>
      <c r="M153" s="6"/>
      <c r="N153" s="2"/>
    </row>
    <row r="154" spans="1:14" x14ac:dyDescent="0.2">
      <c r="A154" s="29">
        <v>240010</v>
      </c>
      <c r="B154" s="2"/>
      <c r="C154" s="10"/>
      <c r="D154" s="2"/>
      <c r="E154" s="2"/>
      <c r="F154" s="27"/>
      <c r="G154" s="28"/>
      <c r="H154" s="6"/>
      <c r="I154" s="10"/>
      <c r="J154" s="2"/>
      <c r="K154" s="10"/>
      <c r="L154" s="28"/>
      <c r="M154" s="6"/>
      <c r="N154" s="2"/>
    </row>
    <row r="155" spans="1:14" x14ac:dyDescent="0.2">
      <c r="A155" s="29">
        <v>240020</v>
      </c>
      <c r="B155" s="2"/>
      <c r="C155" s="10"/>
      <c r="D155" s="2"/>
      <c r="E155" s="2"/>
      <c r="F155" s="27"/>
      <c r="G155" s="28"/>
      <c r="H155" s="6"/>
      <c r="I155" s="10"/>
      <c r="J155" s="2"/>
      <c r="K155" s="10"/>
      <c r="L155" s="28"/>
      <c r="M155" s="6"/>
      <c r="N155" s="2"/>
    </row>
    <row r="156" spans="1:14" x14ac:dyDescent="0.2">
      <c r="A156" s="29">
        <v>240030</v>
      </c>
      <c r="B156" s="2"/>
      <c r="C156" s="10"/>
      <c r="D156" s="2"/>
      <c r="E156" s="2"/>
      <c r="F156" s="27"/>
      <c r="G156" s="28"/>
      <c r="H156" s="6"/>
      <c r="I156" s="10"/>
      <c r="J156" s="2"/>
      <c r="K156" s="10"/>
      <c r="L156" s="28"/>
      <c r="M156" s="6"/>
      <c r="N156" s="2"/>
    </row>
    <row r="157" spans="1:14" x14ac:dyDescent="0.2">
      <c r="A157" s="29">
        <v>240040</v>
      </c>
      <c r="B157" s="2"/>
      <c r="C157" s="10"/>
      <c r="D157" s="2"/>
      <c r="E157" s="2"/>
      <c r="F157" s="27"/>
      <c r="G157" s="28"/>
      <c r="H157" s="6"/>
      <c r="I157" s="10"/>
      <c r="J157" s="2"/>
      <c r="K157" s="10"/>
      <c r="L157" s="28"/>
      <c r="M157" s="6"/>
      <c r="N157" s="2"/>
    </row>
    <row r="158" spans="1:14" x14ac:dyDescent="0.2">
      <c r="A158" s="29">
        <v>240050</v>
      </c>
      <c r="B158" s="2"/>
      <c r="C158" s="10"/>
      <c r="D158" s="2"/>
      <c r="E158" s="2"/>
      <c r="F158" s="27"/>
      <c r="G158" s="28"/>
      <c r="H158" s="6"/>
      <c r="I158" s="10"/>
      <c r="J158" s="2"/>
      <c r="K158" s="10"/>
      <c r="L158" s="28"/>
      <c r="M158" s="6"/>
      <c r="N158" s="2"/>
    </row>
    <row r="159" spans="1:14" x14ac:dyDescent="0.2">
      <c r="A159" s="29">
        <v>250000</v>
      </c>
      <c r="B159" s="2"/>
      <c r="C159" s="10"/>
      <c r="D159" s="2"/>
      <c r="E159" s="2"/>
      <c r="F159" s="27"/>
      <c r="G159" s="28"/>
      <c r="H159" s="6"/>
      <c r="I159" s="10"/>
      <c r="J159" s="2"/>
      <c r="K159" s="10"/>
      <c r="L159" s="28"/>
      <c r="M159" s="6"/>
      <c r="N159" s="2"/>
    </row>
    <row r="160" spans="1:14" x14ac:dyDescent="0.2">
      <c r="A160" s="29">
        <v>250010</v>
      </c>
      <c r="B160" s="2"/>
      <c r="C160" s="10"/>
      <c r="D160" s="2"/>
      <c r="E160" s="2"/>
      <c r="F160" s="27"/>
      <c r="G160" s="28"/>
      <c r="H160" s="6"/>
      <c r="I160" s="10"/>
      <c r="J160" s="2"/>
      <c r="K160" s="10"/>
      <c r="L160" s="28"/>
      <c r="M160" s="6"/>
      <c r="N160" s="2"/>
    </row>
    <row r="161" spans="1:14" x14ac:dyDescent="0.2">
      <c r="A161" s="29">
        <v>250020</v>
      </c>
      <c r="B161" s="2"/>
      <c r="C161" s="10"/>
      <c r="D161" s="2"/>
      <c r="E161" s="2"/>
      <c r="F161" s="27"/>
      <c r="G161" s="28"/>
      <c r="H161" s="6"/>
      <c r="I161" s="10"/>
      <c r="J161" s="2"/>
      <c r="K161" s="10"/>
      <c r="L161" s="28"/>
      <c r="M161" s="6"/>
      <c r="N161" s="2"/>
    </row>
    <row r="162" spans="1:14" x14ac:dyDescent="0.2">
      <c r="A162" s="29">
        <v>250030</v>
      </c>
      <c r="B162" s="2"/>
      <c r="C162" s="10"/>
      <c r="D162" s="2"/>
      <c r="E162" s="2"/>
      <c r="F162" s="27"/>
      <c r="G162" s="28"/>
      <c r="H162" s="6"/>
      <c r="I162" s="10"/>
      <c r="J162" s="2"/>
      <c r="K162" s="10"/>
      <c r="L162" s="28"/>
      <c r="M162" s="6"/>
      <c r="N162" s="2"/>
    </row>
    <row r="163" spans="1:14" x14ac:dyDescent="0.2">
      <c r="A163" s="29">
        <v>250040</v>
      </c>
      <c r="B163" s="2"/>
      <c r="C163" s="10"/>
      <c r="D163" s="2"/>
      <c r="E163" s="2"/>
      <c r="F163" s="27"/>
      <c r="G163" s="28"/>
      <c r="H163" s="6"/>
      <c r="I163" s="10"/>
      <c r="J163" s="2"/>
      <c r="K163" s="10"/>
      <c r="L163" s="28"/>
      <c r="M163" s="6"/>
      <c r="N163" s="2"/>
    </row>
    <row r="164" spans="1:14" x14ac:dyDescent="0.2">
      <c r="A164" s="29">
        <v>250050</v>
      </c>
      <c r="B164" s="2"/>
      <c r="C164" s="10"/>
      <c r="D164" s="2"/>
      <c r="E164" s="2"/>
      <c r="F164" s="27"/>
      <c r="G164" s="28"/>
      <c r="H164" s="6"/>
      <c r="I164" s="10"/>
      <c r="J164" s="2"/>
      <c r="K164" s="10"/>
      <c r="L164" s="28"/>
      <c r="M164" s="6"/>
      <c r="N164" s="2"/>
    </row>
    <row r="165" spans="1:14" x14ac:dyDescent="0.2">
      <c r="A165" s="29">
        <v>260000</v>
      </c>
      <c r="B165" s="2"/>
      <c r="C165" s="10"/>
      <c r="D165" s="2"/>
      <c r="E165" s="2"/>
      <c r="F165" s="27"/>
      <c r="G165" s="28"/>
      <c r="H165" s="6"/>
      <c r="I165" s="10"/>
      <c r="J165" s="2"/>
      <c r="K165" s="10"/>
      <c r="L165" s="28"/>
      <c r="M165" s="6"/>
      <c r="N165" s="2"/>
    </row>
    <row r="166" spans="1:14" x14ac:dyDescent="0.2">
      <c r="A166" s="29">
        <v>260010</v>
      </c>
      <c r="B166" s="2"/>
      <c r="C166" s="10"/>
      <c r="D166" s="2"/>
      <c r="E166" s="2"/>
      <c r="F166" s="27"/>
      <c r="G166" s="28"/>
      <c r="H166" s="6"/>
      <c r="I166" s="10"/>
      <c r="J166" s="2"/>
      <c r="K166" s="10"/>
      <c r="L166" s="28"/>
      <c r="M166" s="6"/>
      <c r="N166" s="2"/>
    </row>
    <row r="167" spans="1:14" x14ac:dyDescent="0.2">
      <c r="A167" s="29">
        <v>260020</v>
      </c>
      <c r="B167" s="2"/>
      <c r="C167" s="10"/>
      <c r="D167" s="2"/>
      <c r="E167" s="2"/>
      <c r="F167" s="27"/>
      <c r="G167" s="28"/>
      <c r="H167" s="6"/>
      <c r="I167" s="10"/>
      <c r="J167" s="2"/>
      <c r="K167" s="10"/>
      <c r="L167" s="28"/>
      <c r="M167" s="6"/>
      <c r="N167" s="2"/>
    </row>
    <row r="168" spans="1:14" x14ac:dyDescent="0.2">
      <c r="A168" s="29">
        <v>260030</v>
      </c>
      <c r="B168" s="2"/>
      <c r="C168" s="10"/>
      <c r="D168" s="2"/>
      <c r="E168" s="2"/>
      <c r="F168" s="27"/>
      <c r="G168" s="28"/>
      <c r="H168" s="6"/>
      <c r="I168" s="10"/>
      <c r="J168" s="2"/>
      <c r="K168" s="10"/>
      <c r="L168" s="28"/>
      <c r="M168" s="6"/>
      <c r="N168" s="2"/>
    </row>
    <row r="169" spans="1:14" x14ac:dyDescent="0.2">
      <c r="A169" s="29">
        <v>260040</v>
      </c>
      <c r="B169" s="2"/>
      <c r="C169" s="10"/>
      <c r="D169" s="2"/>
      <c r="E169" s="2"/>
      <c r="F169" s="27"/>
      <c r="G169" s="28"/>
      <c r="H169" s="6"/>
      <c r="I169" s="10"/>
      <c r="J169" s="2"/>
      <c r="K169" s="10"/>
      <c r="L169" s="28"/>
      <c r="M169" s="6"/>
      <c r="N169" s="2"/>
    </row>
    <row r="170" spans="1:14" x14ac:dyDescent="0.2">
      <c r="A170" s="29">
        <v>260050</v>
      </c>
      <c r="B170" s="2"/>
      <c r="C170" s="10"/>
      <c r="D170" s="2"/>
      <c r="E170" s="2"/>
      <c r="F170" s="27"/>
      <c r="G170" s="28"/>
      <c r="H170" s="6"/>
      <c r="I170" s="10"/>
      <c r="J170" s="2"/>
      <c r="K170" s="10"/>
      <c r="L170" s="28"/>
      <c r="M170" s="6"/>
      <c r="N170" s="2"/>
    </row>
    <row r="171" spans="1:14" x14ac:dyDescent="0.2">
      <c r="A171" s="29">
        <v>270000</v>
      </c>
      <c r="B171" s="2"/>
      <c r="C171" s="10"/>
      <c r="D171" s="2"/>
      <c r="E171" s="2"/>
      <c r="F171" s="27"/>
      <c r="G171" s="28"/>
      <c r="H171" s="6"/>
      <c r="I171" s="10"/>
      <c r="J171" s="2"/>
      <c r="K171" s="10"/>
      <c r="L171" s="28"/>
      <c r="M171" s="6"/>
      <c r="N171" s="2"/>
    </row>
    <row r="172" spans="1:14" x14ac:dyDescent="0.2">
      <c r="A172" s="29">
        <v>270010</v>
      </c>
      <c r="B172" s="2"/>
      <c r="C172" s="10"/>
      <c r="D172" s="2"/>
      <c r="E172" s="2"/>
      <c r="F172" s="27"/>
      <c r="G172" s="28"/>
      <c r="H172" s="6"/>
      <c r="I172" s="10"/>
      <c r="J172" s="2"/>
      <c r="K172" s="10"/>
      <c r="L172" s="28"/>
      <c r="M172" s="6"/>
      <c r="N172" s="2"/>
    </row>
    <row r="173" spans="1:14" x14ac:dyDescent="0.2">
      <c r="A173" s="29">
        <v>270020</v>
      </c>
      <c r="B173" s="2"/>
      <c r="C173" s="10"/>
      <c r="D173" s="2"/>
      <c r="E173" s="2"/>
      <c r="F173" s="27"/>
      <c r="G173" s="28"/>
      <c r="H173" s="6"/>
      <c r="I173" s="10"/>
      <c r="J173" s="2"/>
      <c r="K173" s="10"/>
      <c r="L173" s="28"/>
      <c r="M173" s="6"/>
      <c r="N173" s="2"/>
    </row>
    <row r="174" spans="1:14" x14ac:dyDescent="0.2">
      <c r="A174" s="29">
        <v>270030</v>
      </c>
      <c r="B174" s="2"/>
      <c r="C174" s="10"/>
      <c r="D174" s="2"/>
      <c r="E174" s="2"/>
      <c r="F174" s="27"/>
      <c r="G174" s="28"/>
      <c r="H174" s="6"/>
      <c r="I174" s="10"/>
      <c r="J174" s="2"/>
      <c r="K174" s="10"/>
      <c r="L174" s="28"/>
      <c r="M174" s="6"/>
      <c r="N174" s="2"/>
    </row>
    <row r="175" spans="1:14" x14ac:dyDescent="0.2">
      <c r="A175" s="29">
        <v>270040</v>
      </c>
      <c r="B175" s="2"/>
      <c r="C175" s="10"/>
      <c r="D175" s="2"/>
      <c r="E175" s="2"/>
      <c r="F175" s="27"/>
      <c r="G175" s="28"/>
      <c r="H175" s="6"/>
      <c r="I175" s="10"/>
      <c r="J175" s="2"/>
      <c r="K175" s="10"/>
      <c r="L175" s="28"/>
      <c r="M175" s="6"/>
      <c r="N175" s="2"/>
    </row>
    <row r="176" spans="1:14" x14ac:dyDescent="0.2">
      <c r="A176" s="29">
        <v>270050</v>
      </c>
      <c r="B176" s="2"/>
      <c r="C176" s="10"/>
      <c r="D176" s="2"/>
      <c r="E176" s="2"/>
      <c r="F176" s="27"/>
      <c r="G176" s="28"/>
      <c r="H176" s="6"/>
      <c r="I176" s="10"/>
      <c r="J176" s="2"/>
      <c r="K176" s="10"/>
      <c r="L176" s="28"/>
      <c r="M176" s="6"/>
      <c r="N176" s="2"/>
    </row>
    <row r="177" spans="1:14" x14ac:dyDescent="0.2">
      <c r="A177" s="29">
        <v>280000</v>
      </c>
      <c r="B177" s="2"/>
      <c r="C177" s="10"/>
      <c r="D177" s="2"/>
      <c r="E177" s="2"/>
      <c r="F177" s="27"/>
      <c r="G177" s="28"/>
      <c r="H177" s="6"/>
      <c r="I177" s="10"/>
      <c r="J177" s="2"/>
      <c r="K177" s="10"/>
      <c r="L177" s="28"/>
      <c r="M177" s="6"/>
      <c r="N177" s="2"/>
    </row>
    <row r="178" spans="1:14" x14ac:dyDescent="0.2">
      <c r="A178" s="29">
        <v>280010</v>
      </c>
      <c r="B178" s="2"/>
      <c r="C178" s="10"/>
      <c r="D178" s="2"/>
      <c r="E178" s="2"/>
      <c r="F178" s="27"/>
      <c r="G178" s="28"/>
      <c r="H178" s="6"/>
      <c r="I178" s="10"/>
      <c r="J178" s="2"/>
      <c r="K178" s="10"/>
      <c r="L178" s="28"/>
      <c r="M178" s="6"/>
      <c r="N178" s="2"/>
    </row>
    <row r="179" spans="1:14" x14ac:dyDescent="0.2">
      <c r="A179" s="29">
        <v>280020</v>
      </c>
      <c r="B179" s="2"/>
      <c r="C179" s="10"/>
      <c r="D179" s="2"/>
      <c r="E179" s="2"/>
      <c r="F179" s="27"/>
      <c r="G179" s="28"/>
      <c r="H179" s="6"/>
      <c r="I179" s="10"/>
      <c r="J179" s="2"/>
      <c r="K179" s="10"/>
      <c r="L179" s="28"/>
      <c r="M179" s="6"/>
      <c r="N179" s="2"/>
    </row>
    <row r="180" spans="1:14" x14ac:dyDescent="0.2">
      <c r="A180" s="29">
        <v>280030</v>
      </c>
      <c r="B180" s="2"/>
      <c r="C180" s="10"/>
      <c r="D180" s="2"/>
      <c r="E180" s="2"/>
      <c r="F180" s="27"/>
      <c r="G180" s="28"/>
      <c r="H180" s="6"/>
      <c r="I180" s="10"/>
      <c r="J180" s="2"/>
      <c r="K180" s="10"/>
      <c r="L180" s="28"/>
      <c r="M180" s="6"/>
      <c r="N180" s="2"/>
    </row>
    <row r="181" spans="1:14" x14ac:dyDescent="0.2">
      <c r="A181" s="29">
        <v>280040</v>
      </c>
      <c r="B181" s="2"/>
      <c r="C181" s="10"/>
      <c r="D181" s="2"/>
      <c r="E181" s="2"/>
      <c r="F181" s="27"/>
      <c r="G181" s="28"/>
      <c r="H181" s="6"/>
      <c r="I181" s="10"/>
      <c r="J181" s="2"/>
      <c r="K181" s="10"/>
      <c r="L181" s="28"/>
      <c r="M181" s="6"/>
      <c r="N181" s="2"/>
    </row>
    <row r="182" spans="1:14" x14ac:dyDescent="0.2">
      <c r="A182" s="29">
        <v>280050</v>
      </c>
      <c r="B182" s="2"/>
      <c r="C182" s="10"/>
      <c r="D182" s="2"/>
      <c r="E182" s="2"/>
      <c r="F182" s="27"/>
      <c r="G182" s="28"/>
      <c r="H182" s="6"/>
      <c r="I182" s="10"/>
      <c r="J182" s="2"/>
      <c r="K182" s="10"/>
      <c r="L182" s="28"/>
      <c r="M182" s="6"/>
      <c r="N182" s="2"/>
    </row>
    <row r="183" spans="1:14" x14ac:dyDescent="0.2">
      <c r="A183" s="29">
        <v>290000</v>
      </c>
      <c r="B183" s="2"/>
      <c r="C183" s="10"/>
      <c r="D183" s="2"/>
      <c r="E183" s="2"/>
      <c r="F183" s="27"/>
      <c r="G183" s="28"/>
      <c r="H183" s="6"/>
      <c r="I183" s="10"/>
      <c r="J183" s="2"/>
      <c r="K183" s="10"/>
      <c r="L183" s="28"/>
      <c r="M183" s="6"/>
      <c r="N183" s="2"/>
    </row>
    <row r="184" spans="1:14" x14ac:dyDescent="0.2">
      <c r="A184" s="29">
        <v>290010</v>
      </c>
      <c r="B184" s="2"/>
      <c r="C184" s="10"/>
      <c r="D184" s="2"/>
      <c r="E184" s="2"/>
      <c r="F184" s="27"/>
      <c r="G184" s="28"/>
      <c r="H184" s="6"/>
      <c r="I184" s="10"/>
      <c r="J184" s="2"/>
      <c r="K184" s="10"/>
      <c r="L184" s="28"/>
      <c r="M184" s="6"/>
      <c r="N184" s="2"/>
    </row>
    <row r="185" spans="1:14" x14ac:dyDescent="0.2">
      <c r="A185" s="29">
        <v>290020</v>
      </c>
      <c r="B185" s="2"/>
      <c r="C185" s="10"/>
      <c r="D185" s="2"/>
      <c r="E185" s="2"/>
      <c r="F185" s="27"/>
      <c r="G185" s="28"/>
      <c r="H185" s="6"/>
      <c r="I185" s="10"/>
      <c r="J185" s="2"/>
      <c r="K185" s="10"/>
      <c r="L185" s="28"/>
      <c r="M185" s="6"/>
      <c r="N185" s="2"/>
    </row>
    <row r="186" spans="1:14" x14ac:dyDescent="0.2">
      <c r="A186" s="29">
        <v>290030</v>
      </c>
      <c r="B186" s="2"/>
      <c r="C186" s="10"/>
      <c r="D186" s="2"/>
      <c r="E186" s="2"/>
      <c r="F186" s="27"/>
      <c r="G186" s="28"/>
      <c r="H186" s="6"/>
      <c r="I186" s="10"/>
      <c r="J186" s="2"/>
      <c r="K186" s="10"/>
      <c r="L186" s="28"/>
      <c r="M186" s="6"/>
      <c r="N186" s="2"/>
    </row>
    <row r="187" spans="1:14" x14ac:dyDescent="0.2">
      <c r="A187" s="29">
        <v>290040</v>
      </c>
      <c r="B187" s="2"/>
      <c r="C187" s="10"/>
      <c r="D187" s="2"/>
      <c r="E187" s="2"/>
      <c r="F187" s="27"/>
      <c r="G187" s="28"/>
      <c r="H187" s="6"/>
      <c r="I187" s="10"/>
      <c r="J187" s="2"/>
      <c r="K187" s="10"/>
      <c r="L187" s="28"/>
      <c r="M187" s="6"/>
      <c r="N187" s="2"/>
    </row>
    <row r="188" spans="1:14" x14ac:dyDescent="0.2">
      <c r="A188" s="29">
        <v>290050</v>
      </c>
      <c r="B188" s="2"/>
      <c r="C188" s="10"/>
      <c r="D188" s="2"/>
      <c r="E188" s="2"/>
      <c r="F188" s="27"/>
      <c r="G188" s="28"/>
      <c r="H188" s="6"/>
      <c r="I188" s="10"/>
      <c r="J188" s="2"/>
      <c r="K188" s="10"/>
      <c r="L188" s="28"/>
      <c r="M188" s="6"/>
      <c r="N188" s="2"/>
    </row>
    <row r="189" spans="1:14" x14ac:dyDescent="0.2">
      <c r="A189" s="29">
        <v>300000</v>
      </c>
      <c r="B189" s="2"/>
      <c r="C189" s="10"/>
      <c r="D189" s="2"/>
      <c r="E189" s="2"/>
      <c r="F189" s="27"/>
      <c r="G189" s="28"/>
      <c r="H189" s="6"/>
      <c r="I189" s="10"/>
      <c r="J189" s="2"/>
      <c r="K189" s="10"/>
      <c r="L189" s="28"/>
      <c r="M189" s="6"/>
      <c r="N189" s="2"/>
    </row>
    <row r="190" spans="1:14" x14ac:dyDescent="0.2">
      <c r="A190" s="29">
        <v>300010</v>
      </c>
      <c r="B190" s="2"/>
      <c r="C190" s="10"/>
      <c r="D190" s="2"/>
      <c r="E190" s="2"/>
      <c r="F190" s="27"/>
      <c r="G190" s="28"/>
      <c r="H190" s="6"/>
      <c r="I190" s="10"/>
      <c r="J190" s="2"/>
      <c r="K190" s="10"/>
      <c r="L190" s="28"/>
      <c r="M190" s="6"/>
      <c r="N190" s="2"/>
    </row>
    <row r="191" spans="1:14" x14ac:dyDescent="0.2">
      <c r="A191" s="29">
        <v>300020</v>
      </c>
      <c r="B191" s="2"/>
      <c r="C191" s="10"/>
      <c r="D191" s="2"/>
      <c r="E191" s="2"/>
      <c r="F191" s="27"/>
      <c r="G191" s="28"/>
      <c r="H191" s="6"/>
      <c r="I191" s="10"/>
      <c r="J191" s="2"/>
      <c r="K191" s="10"/>
      <c r="L191" s="28"/>
      <c r="M191" s="6"/>
      <c r="N191" s="2"/>
    </row>
    <row r="192" spans="1:14" x14ac:dyDescent="0.2">
      <c r="A192" s="29">
        <v>300030</v>
      </c>
      <c r="B192" s="2"/>
      <c r="C192" s="10"/>
      <c r="D192" s="2"/>
      <c r="E192" s="2"/>
      <c r="F192" s="27"/>
      <c r="G192" s="28"/>
      <c r="H192" s="6"/>
      <c r="I192" s="10"/>
      <c r="J192" s="2"/>
      <c r="K192" s="10"/>
      <c r="L192" s="28"/>
      <c r="M192" s="6"/>
      <c r="N192" s="2"/>
    </row>
    <row r="193" spans="1:14" x14ac:dyDescent="0.2">
      <c r="A193" s="29">
        <v>300040</v>
      </c>
      <c r="B193" s="2"/>
      <c r="C193" s="10"/>
      <c r="D193" s="2"/>
      <c r="E193" s="2"/>
      <c r="F193" s="27"/>
      <c r="G193" s="28"/>
      <c r="H193" s="6"/>
      <c r="I193" s="10"/>
      <c r="J193" s="2"/>
      <c r="K193" s="10"/>
      <c r="L193" s="28"/>
      <c r="M193" s="6"/>
      <c r="N193" s="2"/>
    </row>
    <row r="194" spans="1:14" x14ac:dyDescent="0.2">
      <c r="A194" s="29">
        <v>300050</v>
      </c>
      <c r="B194" s="2"/>
      <c r="C194" s="10"/>
      <c r="D194" s="2"/>
      <c r="E194" s="2"/>
      <c r="F194" s="27"/>
      <c r="G194" s="28"/>
      <c r="H194" s="6"/>
      <c r="I194" s="10"/>
      <c r="J194" s="2"/>
      <c r="K194" s="10"/>
      <c r="L194" s="28"/>
      <c r="M194" s="6"/>
      <c r="N194" s="2"/>
    </row>
    <row r="195" spans="1:14" x14ac:dyDescent="0.2">
      <c r="A195" s="29">
        <v>310000</v>
      </c>
      <c r="B195" s="2"/>
      <c r="C195" s="10"/>
      <c r="D195" s="2"/>
      <c r="E195" s="2"/>
      <c r="F195" s="27"/>
      <c r="G195" s="28"/>
      <c r="H195" s="6"/>
      <c r="I195" s="10"/>
      <c r="J195" s="2"/>
      <c r="K195" s="10"/>
      <c r="L195" s="28"/>
      <c r="M195" s="6"/>
      <c r="N195" s="2"/>
    </row>
    <row r="196" spans="1:14" x14ac:dyDescent="0.2">
      <c r="A196" s="29">
        <v>310010</v>
      </c>
      <c r="B196" s="2"/>
      <c r="C196" s="10"/>
      <c r="D196" s="2"/>
      <c r="E196" s="2"/>
      <c r="F196" s="27"/>
      <c r="G196" s="28"/>
      <c r="H196" s="6"/>
      <c r="I196" s="10"/>
      <c r="J196" s="2"/>
      <c r="K196" s="10"/>
      <c r="L196" s="28"/>
      <c r="M196" s="6"/>
      <c r="N196" s="2"/>
    </row>
    <row r="197" spans="1:14" x14ac:dyDescent="0.2">
      <c r="A197" s="29">
        <v>310020</v>
      </c>
      <c r="B197" s="2"/>
      <c r="C197" s="10"/>
      <c r="D197" s="2"/>
      <c r="E197" s="2"/>
      <c r="F197" s="27"/>
      <c r="G197" s="28"/>
      <c r="H197" s="6"/>
      <c r="I197" s="10"/>
      <c r="J197" s="2"/>
      <c r="K197" s="10"/>
      <c r="L197" s="28"/>
      <c r="M197" s="6"/>
      <c r="N197" s="2"/>
    </row>
    <row r="198" spans="1:14" x14ac:dyDescent="0.2">
      <c r="A198" s="29">
        <v>310030</v>
      </c>
      <c r="B198" s="2"/>
      <c r="C198" s="10"/>
      <c r="D198" s="2"/>
      <c r="E198" s="2"/>
      <c r="F198" s="27"/>
      <c r="G198" s="28"/>
      <c r="H198" s="6"/>
      <c r="I198" s="10"/>
      <c r="J198" s="2"/>
      <c r="K198" s="10"/>
      <c r="L198" s="28"/>
      <c r="M198" s="6"/>
      <c r="N198" s="2"/>
    </row>
    <row r="199" spans="1:14" x14ac:dyDescent="0.2">
      <c r="A199" s="29">
        <v>310040</v>
      </c>
      <c r="B199" s="2"/>
      <c r="C199" s="10"/>
      <c r="D199" s="2"/>
      <c r="E199" s="2"/>
      <c r="F199" s="27"/>
      <c r="G199" s="28"/>
      <c r="H199" s="6"/>
      <c r="I199" s="10"/>
      <c r="J199" s="2"/>
      <c r="K199" s="10"/>
      <c r="L199" s="28"/>
      <c r="M199" s="6"/>
      <c r="N199" s="2"/>
    </row>
    <row r="200" spans="1:14" x14ac:dyDescent="0.2">
      <c r="A200" s="29">
        <v>310050</v>
      </c>
      <c r="B200" s="2"/>
      <c r="C200" s="10"/>
      <c r="D200" s="2"/>
      <c r="E200" s="2"/>
      <c r="F200" s="27"/>
      <c r="G200" s="28"/>
      <c r="H200" s="6"/>
      <c r="I200" s="10"/>
      <c r="J200" s="2"/>
      <c r="K200" s="10"/>
      <c r="L200" s="28"/>
      <c r="M200" s="6"/>
      <c r="N200" s="2"/>
    </row>
    <row r="201" spans="1:14" x14ac:dyDescent="0.2">
      <c r="A201" s="29">
        <v>320000</v>
      </c>
      <c r="B201" s="2"/>
      <c r="C201" s="10"/>
      <c r="D201" s="2"/>
      <c r="E201" s="2"/>
      <c r="F201" s="27"/>
      <c r="G201" s="28"/>
      <c r="H201" s="6"/>
      <c r="I201" s="10"/>
      <c r="J201" s="2"/>
      <c r="K201" s="10"/>
      <c r="L201" s="28"/>
      <c r="M201" s="6"/>
      <c r="N201" s="2"/>
    </row>
    <row r="202" spans="1:14" x14ac:dyDescent="0.2">
      <c r="A202" s="29">
        <v>320010</v>
      </c>
      <c r="B202" s="2"/>
      <c r="C202" s="10"/>
      <c r="D202" s="2"/>
      <c r="E202" s="2"/>
      <c r="F202" s="27"/>
      <c r="G202" s="28"/>
      <c r="H202" s="6"/>
      <c r="I202" s="10"/>
      <c r="J202" s="2"/>
      <c r="K202" s="10"/>
      <c r="L202" s="28"/>
      <c r="M202" s="6"/>
      <c r="N202" s="2"/>
    </row>
    <row r="203" spans="1:14" x14ac:dyDescent="0.2">
      <c r="A203" s="29">
        <v>320020</v>
      </c>
      <c r="B203" s="2"/>
      <c r="C203" s="10"/>
      <c r="D203" s="2"/>
      <c r="E203" s="2"/>
      <c r="F203" s="27"/>
      <c r="G203" s="28"/>
      <c r="H203" s="6"/>
      <c r="I203" s="10"/>
      <c r="J203" s="2"/>
      <c r="K203" s="10"/>
      <c r="L203" s="28"/>
      <c r="M203" s="6"/>
      <c r="N203" s="2"/>
    </row>
    <row r="204" spans="1:14" x14ac:dyDescent="0.2">
      <c r="A204" s="29">
        <v>320030</v>
      </c>
      <c r="B204" s="2"/>
      <c r="C204" s="10"/>
      <c r="D204" s="2"/>
      <c r="E204" s="2"/>
      <c r="F204" s="27"/>
      <c r="G204" s="28"/>
      <c r="H204" s="6"/>
      <c r="I204" s="10"/>
      <c r="J204" s="2"/>
      <c r="K204" s="10"/>
      <c r="L204" s="28"/>
      <c r="M204" s="6"/>
      <c r="N204" s="2"/>
    </row>
    <row r="205" spans="1:14" x14ac:dyDescent="0.2">
      <c r="A205" s="29">
        <v>320040</v>
      </c>
      <c r="B205" s="2"/>
      <c r="C205" s="10"/>
      <c r="D205" s="2"/>
      <c r="E205" s="2"/>
      <c r="F205" s="27"/>
      <c r="G205" s="28"/>
      <c r="H205" s="6"/>
      <c r="I205" s="10"/>
      <c r="J205" s="2"/>
      <c r="K205" s="10"/>
      <c r="L205" s="28"/>
      <c r="M205" s="6"/>
      <c r="N205" s="2"/>
    </row>
    <row r="206" spans="1:14" x14ac:dyDescent="0.2">
      <c r="A206" s="29">
        <v>320050</v>
      </c>
      <c r="B206" s="2"/>
      <c r="C206" s="10"/>
      <c r="D206" s="2"/>
      <c r="E206" s="2"/>
      <c r="F206" s="27"/>
      <c r="G206" s="28"/>
      <c r="H206" s="6"/>
      <c r="I206" s="10"/>
      <c r="J206" s="2"/>
      <c r="K206" s="10"/>
      <c r="L206" s="28"/>
      <c r="M206" s="6"/>
      <c r="N206" s="2"/>
    </row>
    <row r="207" spans="1:14" x14ac:dyDescent="0.2">
      <c r="A207" s="29">
        <v>330000</v>
      </c>
      <c r="B207" s="2"/>
      <c r="C207" s="10"/>
      <c r="D207" s="2"/>
      <c r="E207" s="2"/>
      <c r="F207" s="27"/>
      <c r="G207" s="28"/>
      <c r="H207" s="6"/>
      <c r="I207" s="10"/>
      <c r="J207" s="2"/>
      <c r="K207" s="10"/>
      <c r="L207" s="28"/>
      <c r="M207" s="6"/>
      <c r="N207" s="2"/>
    </row>
    <row r="208" spans="1:14" x14ac:dyDescent="0.2">
      <c r="A208" s="29">
        <v>330010</v>
      </c>
      <c r="B208" s="2"/>
      <c r="C208" s="10"/>
      <c r="D208" s="2"/>
      <c r="E208" s="2"/>
      <c r="F208" s="27"/>
      <c r="G208" s="28"/>
      <c r="H208" s="6"/>
      <c r="I208" s="10"/>
      <c r="J208" s="2"/>
      <c r="K208" s="10"/>
      <c r="L208" s="28"/>
      <c r="M208" s="6"/>
      <c r="N208" s="2"/>
    </row>
    <row r="209" spans="1:14" x14ac:dyDescent="0.2">
      <c r="A209" s="29">
        <v>330020</v>
      </c>
      <c r="B209" s="2"/>
      <c r="C209" s="10"/>
      <c r="D209" s="2"/>
      <c r="E209" s="2"/>
      <c r="F209" s="27"/>
      <c r="G209" s="28"/>
      <c r="H209" s="6"/>
      <c r="I209" s="10"/>
      <c r="J209" s="2"/>
      <c r="K209" s="10"/>
      <c r="L209" s="28"/>
      <c r="M209" s="6"/>
      <c r="N209" s="2"/>
    </row>
    <row r="210" spans="1:14" x14ac:dyDescent="0.2">
      <c r="A210" s="29">
        <v>330030</v>
      </c>
      <c r="B210" s="2"/>
      <c r="C210" s="10"/>
      <c r="D210" s="2"/>
      <c r="E210" s="2"/>
      <c r="F210" s="27"/>
      <c r="G210" s="28"/>
      <c r="H210" s="6"/>
      <c r="I210" s="10"/>
      <c r="J210" s="2"/>
      <c r="K210" s="10"/>
      <c r="L210" s="28"/>
      <c r="M210" s="6"/>
      <c r="N210" s="2"/>
    </row>
    <row r="211" spans="1:14" x14ac:dyDescent="0.2">
      <c r="A211" s="29">
        <v>330040</v>
      </c>
      <c r="B211" s="2"/>
      <c r="C211" s="10"/>
      <c r="D211" s="2"/>
      <c r="E211" s="2"/>
      <c r="F211" s="27"/>
      <c r="G211" s="28"/>
      <c r="H211" s="6"/>
      <c r="I211" s="10"/>
      <c r="J211" s="2"/>
      <c r="K211" s="10"/>
      <c r="L211" s="28"/>
      <c r="M211" s="6"/>
      <c r="N211" s="2"/>
    </row>
    <row r="212" spans="1:14" x14ac:dyDescent="0.2">
      <c r="A212" s="29">
        <v>330050</v>
      </c>
      <c r="B212" s="2"/>
      <c r="C212" s="10"/>
      <c r="D212" s="2"/>
      <c r="E212" s="2"/>
      <c r="F212" s="27"/>
      <c r="G212" s="28"/>
      <c r="H212" s="6"/>
      <c r="I212" s="10"/>
      <c r="J212" s="2"/>
      <c r="K212" s="10"/>
      <c r="L212" s="28"/>
      <c r="M212" s="6"/>
      <c r="N212" s="2"/>
    </row>
    <row r="213" spans="1:14" x14ac:dyDescent="0.2">
      <c r="A213" s="29">
        <v>340000</v>
      </c>
      <c r="B213" s="2"/>
      <c r="C213" s="10"/>
      <c r="D213" s="2"/>
      <c r="E213" s="2"/>
      <c r="F213" s="27"/>
      <c r="G213" s="28"/>
      <c r="H213" s="6"/>
      <c r="I213" s="10"/>
      <c r="J213" s="2"/>
      <c r="K213" s="10"/>
      <c r="L213" s="28"/>
      <c r="M213" s="6"/>
      <c r="N213" s="2"/>
    </row>
    <row r="214" spans="1:14" x14ac:dyDescent="0.2">
      <c r="A214" s="29">
        <v>340010</v>
      </c>
      <c r="B214" s="2"/>
      <c r="C214" s="10"/>
      <c r="D214" s="2"/>
      <c r="E214" s="2"/>
      <c r="F214" s="27"/>
      <c r="G214" s="28"/>
      <c r="H214" s="6"/>
      <c r="I214" s="10"/>
      <c r="J214" s="2"/>
      <c r="K214" s="10"/>
      <c r="L214" s="28"/>
      <c r="M214" s="6"/>
      <c r="N214" s="2"/>
    </row>
    <row r="215" spans="1:14" x14ac:dyDescent="0.2">
      <c r="A215" s="29">
        <v>340020</v>
      </c>
      <c r="B215" s="2"/>
      <c r="C215" s="10"/>
      <c r="D215" s="2"/>
      <c r="E215" s="2"/>
      <c r="F215" s="27"/>
      <c r="G215" s="28"/>
      <c r="H215" s="6"/>
      <c r="I215" s="10"/>
      <c r="J215" s="2"/>
      <c r="K215" s="10"/>
      <c r="L215" s="28"/>
      <c r="M215" s="6"/>
      <c r="N215" s="2"/>
    </row>
    <row r="216" spans="1:14" x14ac:dyDescent="0.2">
      <c r="A216" s="29">
        <v>340030</v>
      </c>
      <c r="B216" s="2"/>
      <c r="C216" s="10"/>
      <c r="D216" s="2"/>
      <c r="E216" s="2"/>
      <c r="F216" s="27"/>
      <c r="G216" s="28"/>
      <c r="H216" s="6"/>
      <c r="I216" s="10"/>
      <c r="J216" s="2"/>
      <c r="K216" s="10"/>
      <c r="L216" s="28"/>
      <c r="M216" s="6"/>
      <c r="N216" s="2"/>
    </row>
    <row r="217" spans="1:14" x14ac:dyDescent="0.2">
      <c r="A217" s="29">
        <v>340040</v>
      </c>
      <c r="B217" s="2"/>
      <c r="C217" s="10"/>
      <c r="D217" s="2"/>
      <c r="E217" s="2"/>
      <c r="F217" s="27"/>
      <c r="G217" s="28"/>
      <c r="H217" s="6"/>
      <c r="I217" s="10"/>
      <c r="J217" s="2"/>
      <c r="K217" s="10"/>
      <c r="L217" s="28"/>
      <c r="M217" s="6"/>
      <c r="N217" s="2"/>
    </row>
    <row r="218" spans="1:14" x14ac:dyDescent="0.2">
      <c r="A218" s="29">
        <v>340050</v>
      </c>
      <c r="B218" s="2"/>
      <c r="C218" s="10"/>
      <c r="D218" s="2"/>
      <c r="E218" s="2"/>
      <c r="F218" s="27"/>
      <c r="G218" s="28"/>
      <c r="H218" s="6"/>
      <c r="I218" s="10"/>
      <c r="J218" s="2"/>
      <c r="K218" s="10"/>
      <c r="L218" s="28"/>
      <c r="M218" s="6"/>
      <c r="N218" s="2"/>
    </row>
    <row r="219" spans="1:14" x14ac:dyDescent="0.2">
      <c r="A219" s="29">
        <v>350000</v>
      </c>
      <c r="B219" s="2"/>
      <c r="C219" s="10"/>
      <c r="D219" s="2"/>
      <c r="E219" s="2"/>
      <c r="F219" s="27"/>
      <c r="G219" s="28"/>
      <c r="H219" s="6"/>
      <c r="I219" s="10"/>
      <c r="J219" s="2"/>
      <c r="K219" s="10"/>
      <c r="L219" s="28"/>
      <c r="M219" s="6"/>
      <c r="N219" s="2"/>
    </row>
    <row r="220" spans="1:14" x14ac:dyDescent="0.2">
      <c r="A220" s="29">
        <v>350010</v>
      </c>
      <c r="B220" s="2"/>
      <c r="C220" s="10"/>
      <c r="D220" s="2"/>
      <c r="E220" s="2"/>
      <c r="F220" s="27"/>
      <c r="G220" s="28"/>
      <c r="H220" s="6"/>
      <c r="I220" s="10"/>
      <c r="J220" s="2"/>
      <c r="K220" s="10"/>
      <c r="L220" s="28"/>
      <c r="M220" s="6"/>
      <c r="N220" s="2"/>
    </row>
    <row r="221" spans="1:14" x14ac:dyDescent="0.2">
      <c r="A221" s="29">
        <v>350020</v>
      </c>
      <c r="B221" s="2"/>
      <c r="C221" s="10"/>
      <c r="D221" s="2"/>
      <c r="E221" s="2"/>
      <c r="F221" s="27"/>
      <c r="G221" s="28"/>
      <c r="H221" s="6"/>
      <c r="I221" s="10"/>
      <c r="J221" s="2"/>
      <c r="K221" s="10"/>
      <c r="L221" s="28"/>
      <c r="M221" s="6"/>
      <c r="N221" s="2"/>
    </row>
    <row r="222" spans="1:14" x14ac:dyDescent="0.2">
      <c r="A222" s="29">
        <v>350030</v>
      </c>
      <c r="B222" s="2"/>
      <c r="C222" s="10"/>
      <c r="D222" s="2"/>
      <c r="E222" s="2"/>
      <c r="F222" s="27"/>
      <c r="G222" s="28"/>
      <c r="H222" s="6"/>
      <c r="I222" s="10"/>
      <c r="J222" s="2"/>
      <c r="K222" s="10"/>
      <c r="L222" s="28"/>
      <c r="M222" s="6"/>
      <c r="N222" s="2"/>
    </row>
    <row r="223" spans="1:14" x14ac:dyDescent="0.2">
      <c r="A223" s="29">
        <v>350040</v>
      </c>
      <c r="B223" s="2"/>
      <c r="C223" s="10"/>
      <c r="D223" s="2"/>
      <c r="E223" s="2"/>
      <c r="F223" s="27"/>
      <c r="G223" s="28"/>
      <c r="H223" s="6"/>
      <c r="I223" s="10"/>
      <c r="J223" s="2"/>
      <c r="K223" s="10"/>
      <c r="L223" s="28"/>
      <c r="M223" s="6"/>
      <c r="N223" s="2"/>
    </row>
    <row r="224" spans="1:14" x14ac:dyDescent="0.2">
      <c r="A224" s="29">
        <v>350050</v>
      </c>
      <c r="B224" s="2"/>
      <c r="C224" s="10"/>
      <c r="D224" s="2"/>
      <c r="E224" s="2"/>
      <c r="F224" s="27"/>
      <c r="G224" s="28"/>
      <c r="H224" s="6"/>
      <c r="I224" s="10"/>
      <c r="J224" s="2"/>
      <c r="K224" s="10"/>
      <c r="L224" s="28"/>
      <c r="M224" s="6"/>
      <c r="N224" s="2"/>
    </row>
    <row r="225" spans="1:14" x14ac:dyDescent="0.2">
      <c r="A225" s="29"/>
      <c r="B225" s="2"/>
      <c r="C225" s="10"/>
      <c r="D225" s="2"/>
      <c r="E225" s="2"/>
      <c r="F225" s="27"/>
      <c r="G225" s="28"/>
      <c r="H225" s="6"/>
      <c r="I225" s="10"/>
      <c r="J225" s="2"/>
      <c r="K225" s="10"/>
      <c r="L225" s="28"/>
      <c r="M225" s="6"/>
      <c r="N225" s="2"/>
    </row>
    <row r="226" spans="1:14" x14ac:dyDescent="0.2">
      <c r="A226" s="29"/>
      <c r="B226" s="2"/>
      <c r="C226" s="10"/>
      <c r="D226" s="2"/>
      <c r="E226" s="2"/>
      <c r="F226" s="27"/>
      <c r="G226" s="28"/>
      <c r="H226" s="6"/>
      <c r="I226" s="10"/>
      <c r="J226" s="2"/>
      <c r="K226" s="10"/>
      <c r="L226" s="28"/>
      <c r="M226" s="6"/>
      <c r="N226" s="2"/>
    </row>
    <row r="227" spans="1:14" x14ac:dyDescent="0.2">
      <c r="A227" s="29"/>
      <c r="B227" s="2"/>
      <c r="C227" s="10"/>
      <c r="D227" s="2"/>
      <c r="E227" s="2"/>
      <c r="F227" s="2"/>
      <c r="G227" s="28"/>
      <c r="H227" s="6"/>
      <c r="I227" s="10"/>
      <c r="J227" s="2"/>
      <c r="K227" s="10"/>
      <c r="L227" s="28"/>
      <c r="M227" s="6"/>
      <c r="N227" s="2"/>
    </row>
    <row r="228" spans="1:14" x14ac:dyDescent="0.2">
      <c r="A228" s="29"/>
      <c r="B228" s="2"/>
      <c r="C228" s="10"/>
      <c r="D228" s="2"/>
      <c r="E228" s="2"/>
      <c r="F228" s="2"/>
      <c r="G228" s="28"/>
      <c r="H228" s="6"/>
      <c r="I228" s="10"/>
      <c r="J228" s="2"/>
      <c r="K228" s="10"/>
      <c r="L228" s="28"/>
      <c r="M228" s="6"/>
      <c r="N228" s="2"/>
    </row>
    <row r="229" spans="1:14" x14ac:dyDescent="0.2">
      <c r="A229" s="29"/>
      <c r="B229" s="2"/>
      <c r="C229" s="10"/>
      <c r="D229" s="2"/>
      <c r="E229" s="2"/>
      <c r="F229" s="2"/>
      <c r="G229" s="10"/>
      <c r="H229" s="6"/>
      <c r="I229" s="10"/>
      <c r="J229" s="2"/>
      <c r="K229" s="10"/>
      <c r="L229" s="10"/>
      <c r="M229" s="6"/>
      <c r="N229" s="2"/>
    </row>
    <row r="230" spans="1:14" x14ac:dyDescent="0.2">
      <c r="A230" s="29"/>
      <c r="B230" s="2"/>
      <c r="C230" s="10"/>
      <c r="D230" s="2"/>
      <c r="E230" s="2"/>
      <c r="F230" s="2"/>
      <c r="G230" s="10"/>
      <c r="H230" s="6"/>
      <c r="I230" s="10"/>
      <c r="J230" s="2"/>
      <c r="K230" s="10"/>
      <c r="L230" s="10"/>
      <c r="M230" s="6"/>
      <c r="N230" s="2"/>
    </row>
    <row r="231" spans="1:14" x14ac:dyDescent="0.2">
      <c r="A231" s="29"/>
      <c r="B231" s="2"/>
      <c r="C231" s="10"/>
      <c r="D231" s="2"/>
      <c r="E231" s="2"/>
      <c r="F231" s="2"/>
      <c r="G231" s="10"/>
      <c r="H231" s="6"/>
      <c r="I231" s="10"/>
      <c r="J231" s="2"/>
      <c r="K231" s="10"/>
      <c r="L231" s="10"/>
      <c r="M231" s="6"/>
      <c r="N231" s="2"/>
    </row>
    <row r="232" spans="1:14" x14ac:dyDescent="0.2">
      <c r="A232" s="29"/>
      <c r="B232" s="2"/>
      <c r="C232" s="10"/>
      <c r="D232" s="2"/>
      <c r="E232" s="2"/>
      <c r="F232" s="2"/>
      <c r="G232" s="10"/>
      <c r="H232" s="6"/>
      <c r="I232" s="10"/>
      <c r="J232" s="2"/>
      <c r="K232" s="10"/>
      <c r="L232" s="10"/>
      <c r="M232" s="6"/>
      <c r="N232" s="2"/>
    </row>
    <row r="233" spans="1:14" x14ac:dyDescent="0.2">
      <c r="A233" s="29"/>
    </row>
    <row r="234" spans="1:14" x14ac:dyDescent="0.2">
      <c r="A234" s="29"/>
    </row>
    <row r="235" spans="1:14" x14ac:dyDescent="0.2">
      <c r="A235" s="29"/>
    </row>
    <row r="236" spans="1:14" x14ac:dyDescent="0.2">
      <c r="A236" s="29"/>
    </row>
    <row r="237" spans="1:14" x14ac:dyDescent="0.2">
      <c r="A237" s="29"/>
    </row>
    <row r="238" spans="1:14" x14ac:dyDescent="0.2">
      <c r="A238" s="29"/>
    </row>
    <row r="239" spans="1:14" x14ac:dyDescent="0.2">
      <c r="A239" s="29"/>
    </row>
    <row r="240" spans="1:14" x14ac:dyDescent="0.2">
      <c r="A240" s="29"/>
    </row>
    <row r="241" spans="1:1" x14ac:dyDescent="0.2">
      <c r="A241" s="29"/>
    </row>
    <row r="242" spans="1:1" x14ac:dyDescent="0.2">
      <c r="A242" s="29"/>
    </row>
    <row r="243" spans="1:1" x14ac:dyDescent="0.2">
      <c r="A243" s="29"/>
    </row>
    <row r="244" spans="1:1" x14ac:dyDescent="0.2">
      <c r="A244" s="29"/>
    </row>
    <row r="245" spans="1:1" x14ac:dyDescent="0.2">
      <c r="A245" s="29"/>
    </row>
    <row r="246" spans="1:1" x14ac:dyDescent="0.2">
      <c r="A246" s="29"/>
    </row>
    <row r="247" spans="1:1" x14ac:dyDescent="0.2">
      <c r="A247" s="29"/>
    </row>
    <row r="248" spans="1:1" x14ac:dyDescent="0.2">
      <c r="A248" s="29"/>
    </row>
    <row r="249" spans="1:1" x14ac:dyDescent="0.2">
      <c r="A249" s="29"/>
    </row>
    <row r="250" spans="1:1" x14ac:dyDescent="0.2">
      <c r="A250" s="29"/>
    </row>
    <row r="251" spans="1:1" x14ac:dyDescent="0.2">
      <c r="A251" s="29"/>
    </row>
    <row r="252" spans="1:1" x14ac:dyDescent="0.2">
      <c r="A252" s="29"/>
    </row>
    <row r="253" spans="1:1" x14ac:dyDescent="0.2">
      <c r="A253" s="29"/>
    </row>
    <row r="254" spans="1:1" x14ac:dyDescent="0.2">
      <c r="A254" s="29"/>
    </row>
    <row r="255" spans="1:1" x14ac:dyDescent="0.2">
      <c r="A255" s="29"/>
    </row>
    <row r="256" spans="1:1" x14ac:dyDescent="0.2">
      <c r="A256" s="29"/>
    </row>
    <row r="257" spans="1:1" x14ac:dyDescent="0.2">
      <c r="A257" s="29"/>
    </row>
    <row r="258" spans="1:1" x14ac:dyDescent="0.2">
      <c r="A258" s="29"/>
    </row>
    <row r="259" spans="1:1" x14ac:dyDescent="0.2">
      <c r="A259" s="29"/>
    </row>
    <row r="260" spans="1:1" x14ac:dyDescent="0.2">
      <c r="A260" s="29"/>
    </row>
    <row r="261" spans="1:1" x14ac:dyDescent="0.2">
      <c r="A261" s="29"/>
    </row>
    <row r="262" spans="1:1" x14ac:dyDescent="0.2">
      <c r="A262" s="29"/>
    </row>
    <row r="263" spans="1:1" x14ac:dyDescent="0.2">
      <c r="A263" s="29"/>
    </row>
    <row r="264" spans="1:1" x14ac:dyDescent="0.2">
      <c r="A264" s="29"/>
    </row>
    <row r="265" spans="1:1" x14ac:dyDescent="0.2">
      <c r="A265" s="29"/>
    </row>
    <row r="266" spans="1:1" x14ac:dyDescent="0.2">
      <c r="A266" s="29"/>
    </row>
    <row r="267" spans="1:1" x14ac:dyDescent="0.2">
      <c r="A267" s="29"/>
    </row>
    <row r="268" spans="1:1" x14ac:dyDescent="0.2">
      <c r="A268" s="29"/>
    </row>
    <row r="269" spans="1:1" x14ac:dyDescent="0.2">
      <c r="A269" s="29"/>
    </row>
    <row r="270" spans="1:1" x14ac:dyDescent="0.2">
      <c r="A270" s="29"/>
    </row>
    <row r="271" spans="1:1" x14ac:dyDescent="0.2">
      <c r="A271" s="29"/>
    </row>
    <row r="272" spans="1:1" x14ac:dyDescent="0.2">
      <c r="A272" s="29"/>
    </row>
    <row r="273" spans="1:1" x14ac:dyDescent="0.2">
      <c r="A273" s="29"/>
    </row>
    <row r="274" spans="1:1" x14ac:dyDescent="0.2">
      <c r="A274" s="29"/>
    </row>
    <row r="275" spans="1:1" x14ac:dyDescent="0.2">
      <c r="A275" s="29"/>
    </row>
    <row r="276" spans="1:1" x14ac:dyDescent="0.2">
      <c r="A276" s="29"/>
    </row>
    <row r="277" spans="1:1" x14ac:dyDescent="0.2">
      <c r="A277" s="29"/>
    </row>
    <row r="278" spans="1:1" x14ac:dyDescent="0.2">
      <c r="A278" s="29"/>
    </row>
    <row r="279" spans="1:1" x14ac:dyDescent="0.2">
      <c r="A279" s="29"/>
    </row>
    <row r="280" spans="1:1" x14ac:dyDescent="0.2">
      <c r="A280" s="29"/>
    </row>
    <row r="281" spans="1:1" x14ac:dyDescent="0.2">
      <c r="A281" s="29"/>
    </row>
    <row r="282" spans="1:1" x14ac:dyDescent="0.2">
      <c r="A282" s="29"/>
    </row>
    <row r="283" spans="1:1" x14ac:dyDescent="0.2">
      <c r="A283" s="29"/>
    </row>
    <row r="284" spans="1:1" x14ac:dyDescent="0.2">
      <c r="A284" s="29"/>
    </row>
    <row r="285" spans="1:1" x14ac:dyDescent="0.2">
      <c r="A285" s="29"/>
    </row>
    <row r="286" spans="1:1" x14ac:dyDescent="0.2">
      <c r="A286" s="29"/>
    </row>
    <row r="287" spans="1:1" x14ac:dyDescent="0.2">
      <c r="A287" s="29"/>
    </row>
    <row r="288" spans="1:1" x14ac:dyDescent="0.2">
      <c r="A288" s="29"/>
    </row>
    <row r="289" spans="1:1" x14ac:dyDescent="0.2">
      <c r="A289" s="29"/>
    </row>
    <row r="290" spans="1:1" x14ac:dyDescent="0.2">
      <c r="A290" s="29"/>
    </row>
    <row r="291" spans="1:1" x14ac:dyDescent="0.2">
      <c r="A291" s="29"/>
    </row>
    <row r="292" spans="1:1" x14ac:dyDescent="0.2">
      <c r="A292" s="29"/>
    </row>
    <row r="293" spans="1:1" x14ac:dyDescent="0.2">
      <c r="A293" s="29"/>
    </row>
    <row r="294" spans="1:1" x14ac:dyDescent="0.2">
      <c r="A294" s="29"/>
    </row>
    <row r="295" spans="1:1" x14ac:dyDescent="0.2">
      <c r="A295" s="29"/>
    </row>
    <row r="296" spans="1:1" x14ac:dyDescent="0.2">
      <c r="A296" s="29"/>
    </row>
    <row r="297" spans="1:1" x14ac:dyDescent="0.2">
      <c r="A297" s="29"/>
    </row>
    <row r="298" spans="1:1" x14ac:dyDescent="0.2">
      <c r="A298" s="29"/>
    </row>
    <row r="299" spans="1:1" x14ac:dyDescent="0.2">
      <c r="A299" s="29"/>
    </row>
    <row r="300" spans="1:1" x14ac:dyDescent="0.2">
      <c r="A300" s="29"/>
    </row>
    <row r="301" spans="1:1" x14ac:dyDescent="0.2">
      <c r="A301" s="29"/>
    </row>
    <row r="302" spans="1:1" x14ac:dyDescent="0.2">
      <c r="A302" s="29"/>
    </row>
    <row r="303" spans="1:1" x14ac:dyDescent="0.2">
      <c r="A303" s="29"/>
    </row>
    <row r="304" spans="1:1" x14ac:dyDescent="0.2">
      <c r="A304" s="29"/>
    </row>
    <row r="305" spans="1:1" x14ac:dyDescent="0.2">
      <c r="A305" s="29"/>
    </row>
    <row r="306" spans="1:1" x14ac:dyDescent="0.2">
      <c r="A306" s="29"/>
    </row>
    <row r="307" spans="1:1" x14ac:dyDescent="0.2">
      <c r="A307" s="29"/>
    </row>
    <row r="308" spans="1:1" x14ac:dyDescent="0.2">
      <c r="A308" s="29"/>
    </row>
    <row r="309" spans="1:1" x14ac:dyDescent="0.2">
      <c r="A309" s="29"/>
    </row>
    <row r="310" spans="1:1" x14ac:dyDescent="0.2">
      <c r="A310" s="29"/>
    </row>
    <row r="311" spans="1:1" x14ac:dyDescent="0.2">
      <c r="A311" s="29"/>
    </row>
    <row r="312" spans="1:1" x14ac:dyDescent="0.2">
      <c r="A312" s="29"/>
    </row>
    <row r="313" spans="1:1" x14ac:dyDescent="0.2">
      <c r="A313" s="29"/>
    </row>
    <row r="314" spans="1:1" x14ac:dyDescent="0.2">
      <c r="A314" s="29"/>
    </row>
    <row r="315" spans="1:1" x14ac:dyDescent="0.2">
      <c r="A315" s="29"/>
    </row>
    <row r="316" spans="1:1" x14ac:dyDescent="0.2">
      <c r="A316" s="29"/>
    </row>
    <row r="317" spans="1:1" x14ac:dyDescent="0.2">
      <c r="A317" s="29"/>
    </row>
    <row r="318" spans="1:1" x14ac:dyDescent="0.2">
      <c r="A318" s="29"/>
    </row>
    <row r="319" spans="1:1" x14ac:dyDescent="0.2">
      <c r="A319" s="29"/>
    </row>
    <row r="320" spans="1:1" x14ac:dyDescent="0.2">
      <c r="A320" s="29"/>
    </row>
    <row r="321" spans="1:1" x14ac:dyDescent="0.2">
      <c r="A321" s="29"/>
    </row>
    <row r="322" spans="1:1" x14ac:dyDescent="0.2">
      <c r="A322" s="29"/>
    </row>
    <row r="323" spans="1:1" x14ac:dyDescent="0.2">
      <c r="A323" s="29"/>
    </row>
    <row r="324" spans="1:1" x14ac:dyDescent="0.2">
      <c r="A324" s="29"/>
    </row>
    <row r="325" spans="1:1" x14ac:dyDescent="0.2">
      <c r="A325" s="29"/>
    </row>
    <row r="326" spans="1:1" x14ac:dyDescent="0.2">
      <c r="A326" s="29"/>
    </row>
    <row r="327" spans="1:1" x14ac:dyDescent="0.2">
      <c r="A327" s="29"/>
    </row>
    <row r="328" spans="1:1" x14ac:dyDescent="0.2">
      <c r="A328" s="29"/>
    </row>
    <row r="329" spans="1:1" x14ac:dyDescent="0.2">
      <c r="A329" s="29"/>
    </row>
    <row r="330" spans="1:1" x14ac:dyDescent="0.2">
      <c r="A330" s="29"/>
    </row>
    <row r="331" spans="1:1" x14ac:dyDescent="0.2">
      <c r="A331" s="29"/>
    </row>
    <row r="332" spans="1:1" x14ac:dyDescent="0.2">
      <c r="A332" s="29"/>
    </row>
    <row r="333" spans="1:1" x14ac:dyDescent="0.2">
      <c r="A333" s="29"/>
    </row>
    <row r="334" spans="1:1" x14ac:dyDescent="0.2">
      <c r="A334" s="29"/>
    </row>
    <row r="335" spans="1:1" x14ac:dyDescent="0.2">
      <c r="A335" s="29"/>
    </row>
    <row r="336" spans="1:1" x14ac:dyDescent="0.2">
      <c r="A336" s="29"/>
    </row>
    <row r="337" spans="1:1" x14ac:dyDescent="0.2">
      <c r="A337" s="29"/>
    </row>
    <row r="338" spans="1:1" x14ac:dyDescent="0.2">
      <c r="A338" s="29"/>
    </row>
    <row r="339" spans="1:1" x14ac:dyDescent="0.2">
      <c r="A339" s="29"/>
    </row>
    <row r="340" spans="1:1" x14ac:dyDescent="0.2">
      <c r="A340" s="29"/>
    </row>
    <row r="341" spans="1:1" x14ac:dyDescent="0.2">
      <c r="A341" s="29"/>
    </row>
    <row r="342" spans="1:1" x14ac:dyDescent="0.2">
      <c r="A342" s="29"/>
    </row>
    <row r="343" spans="1:1" x14ac:dyDescent="0.2">
      <c r="A343" s="29"/>
    </row>
    <row r="344" spans="1:1" x14ac:dyDescent="0.2">
      <c r="A344" s="29"/>
    </row>
    <row r="345" spans="1:1" x14ac:dyDescent="0.2">
      <c r="A345" s="29"/>
    </row>
    <row r="346" spans="1:1" x14ac:dyDescent="0.2">
      <c r="A346" s="29"/>
    </row>
    <row r="347" spans="1:1" x14ac:dyDescent="0.2">
      <c r="A347" s="29"/>
    </row>
    <row r="348" spans="1:1" x14ac:dyDescent="0.2">
      <c r="A348" s="29"/>
    </row>
    <row r="349" spans="1:1" x14ac:dyDescent="0.2">
      <c r="A349" s="29"/>
    </row>
    <row r="350" spans="1:1" x14ac:dyDescent="0.2">
      <c r="A350" s="29"/>
    </row>
    <row r="351" spans="1:1" x14ac:dyDescent="0.2">
      <c r="A351" s="29"/>
    </row>
    <row r="352" spans="1:1" x14ac:dyDescent="0.2">
      <c r="A352" s="29"/>
    </row>
    <row r="353" spans="1:1" x14ac:dyDescent="0.2">
      <c r="A353" s="29"/>
    </row>
    <row r="354" spans="1:1" x14ac:dyDescent="0.2">
      <c r="A354" s="29"/>
    </row>
    <row r="355" spans="1:1" x14ac:dyDescent="0.2">
      <c r="A355" s="29"/>
    </row>
    <row r="356" spans="1:1" x14ac:dyDescent="0.2">
      <c r="A356" s="29"/>
    </row>
    <row r="357" spans="1:1" x14ac:dyDescent="0.2">
      <c r="A357" s="29"/>
    </row>
    <row r="358" spans="1:1" x14ac:dyDescent="0.2">
      <c r="A358" s="29"/>
    </row>
    <row r="359" spans="1:1" x14ac:dyDescent="0.2">
      <c r="A359" s="29"/>
    </row>
    <row r="360" spans="1:1" x14ac:dyDescent="0.2">
      <c r="A360" s="29"/>
    </row>
    <row r="361" spans="1:1" x14ac:dyDescent="0.2">
      <c r="A361" s="29"/>
    </row>
    <row r="362" spans="1:1" x14ac:dyDescent="0.2">
      <c r="A362" s="29"/>
    </row>
    <row r="363" spans="1:1" x14ac:dyDescent="0.2">
      <c r="A363" s="29"/>
    </row>
    <row r="364" spans="1:1" x14ac:dyDescent="0.2">
      <c r="A364" s="29"/>
    </row>
    <row r="365" spans="1:1" x14ac:dyDescent="0.2">
      <c r="A365" s="29"/>
    </row>
    <row r="366" spans="1:1" x14ac:dyDescent="0.2">
      <c r="A366" s="29"/>
    </row>
    <row r="367" spans="1:1" x14ac:dyDescent="0.2">
      <c r="A367" s="29"/>
    </row>
    <row r="368" spans="1:1" x14ac:dyDescent="0.2">
      <c r="A368" s="29"/>
    </row>
    <row r="369" spans="1:1" x14ac:dyDescent="0.2">
      <c r="A369" s="29"/>
    </row>
    <row r="370" spans="1:1" x14ac:dyDescent="0.2">
      <c r="A370" s="29"/>
    </row>
    <row r="371" spans="1:1" x14ac:dyDescent="0.2">
      <c r="A371" s="29"/>
    </row>
    <row r="372" spans="1:1" x14ac:dyDescent="0.2">
      <c r="A372" s="29"/>
    </row>
    <row r="373" spans="1:1" x14ac:dyDescent="0.2">
      <c r="A373" s="29"/>
    </row>
    <row r="374" spans="1:1" x14ac:dyDescent="0.2">
      <c r="A374" s="29"/>
    </row>
    <row r="375" spans="1:1" x14ac:dyDescent="0.2">
      <c r="A375" s="29"/>
    </row>
    <row r="376" spans="1:1" x14ac:dyDescent="0.2">
      <c r="A376" s="29"/>
    </row>
    <row r="377" spans="1:1" x14ac:dyDescent="0.2">
      <c r="A377" s="29"/>
    </row>
    <row r="378" spans="1:1" x14ac:dyDescent="0.2">
      <c r="A378" s="29"/>
    </row>
    <row r="379" spans="1:1" x14ac:dyDescent="0.2">
      <c r="A379" s="29"/>
    </row>
    <row r="380" spans="1:1" x14ac:dyDescent="0.2">
      <c r="A380" s="29"/>
    </row>
    <row r="381" spans="1:1" x14ac:dyDescent="0.2">
      <c r="A381" s="29"/>
    </row>
    <row r="382" spans="1:1" x14ac:dyDescent="0.2">
      <c r="A382" s="29"/>
    </row>
    <row r="383" spans="1:1" x14ac:dyDescent="0.2">
      <c r="A383" s="29"/>
    </row>
    <row r="384" spans="1:1" x14ac:dyDescent="0.2">
      <c r="A384" s="29"/>
    </row>
    <row r="385" spans="1:1" x14ac:dyDescent="0.2">
      <c r="A385" s="29"/>
    </row>
    <row r="386" spans="1:1" x14ac:dyDescent="0.2">
      <c r="A386" s="29"/>
    </row>
    <row r="387" spans="1:1" x14ac:dyDescent="0.2">
      <c r="A387" s="29"/>
    </row>
    <row r="388" spans="1:1" x14ac:dyDescent="0.2">
      <c r="A388" s="29"/>
    </row>
    <row r="389" spans="1:1" x14ac:dyDescent="0.2">
      <c r="A389" s="29"/>
    </row>
    <row r="390" spans="1:1" x14ac:dyDescent="0.2">
      <c r="A390" s="29"/>
    </row>
    <row r="391" spans="1:1" x14ac:dyDescent="0.2">
      <c r="A391" s="29"/>
    </row>
    <row r="392" spans="1:1" x14ac:dyDescent="0.2">
      <c r="A392" s="29"/>
    </row>
    <row r="393" spans="1:1" x14ac:dyDescent="0.2">
      <c r="A393" s="29"/>
    </row>
    <row r="394" spans="1:1" x14ac:dyDescent="0.2">
      <c r="A394" s="29"/>
    </row>
    <row r="395" spans="1:1" x14ac:dyDescent="0.2">
      <c r="A395" s="29"/>
    </row>
    <row r="396" spans="1:1" x14ac:dyDescent="0.2">
      <c r="A396" s="29"/>
    </row>
    <row r="397" spans="1:1" x14ac:dyDescent="0.2">
      <c r="A397" s="29"/>
    </row>
    <row r="398" spans="1:1" x14ac:dyDescent="0.2">
      <c r="A398" s="29"/>
    </row>
    <row r="399" spans="1:1" x14ac:dyDescent="0.2">
      <c r="A399" s="29"/>
    </row>
    <row r="400" spans="1:1" x14ac:dyDescent="0.2">
      <c r="A400" s="29"/>
    </row>
    <row r="401" spans="1:1" x14ac:dyDescent="0.2">
      <c r="A401" s="29"/>
    </row>
    <row r="402" spans="1:1" x14ac:dyDescent="0.2">
      <c r="A402" s="29"/>
    </row>
    <row r="403" spans="1:1" x14ac:dyDescent="0.2">
      <c r="A403" s="29"/>
    </row>
    <row r="404" spans="1:1" x14ac:dyDescent="0.2">
      <c r="A404" s="29"/>
    </row>
    <row r="405" spans="1:1" x14ac:dyDescent="0.2">
      <c r="A405" s="29"/>
    </row>
    <row r="406" spans="1:1" x14ac:dyDescent="0.2">
      <c r="A406" s="29"/>
    </row>
    <row r="407" spans="1:1" x14ac:dyDescent="0.2">
      <c r="A407" s="29"/>
    </row>
    <row r="408" spans="1:1" x14ac:dyDescent="0.2">
      <c r="A408" s="29"/>
    </row>
    <row r="409" spans="1:1" x14ac:dyDescent="0.2">
      <c r="A409" s="29"/>
    </row>
    <row r="410" spans="1:1" x14ac:dyDescent="0.2">
      <c r="A410" s="29"/>
    </row>
    <row r="411" spans="1:1" x14ac:dyDescent="0.2">
      <c r="A411" s="29"/>
    </row>
    <row r="412" spans="1:1" x14ac:dyDescent="0.2">
      <c r="A412" s="29"/>
    </row>
    <row r="413" spans="1:1" x14ac:dyDescent="0.2">
      <c r="A413" s="29"/>
    </row>
    <row r="414" spans="1:1" x14ac:dyDescent="0.2">
      <c r="A414" s="29"/>
    </row>
    <row r="415" spans="1:1" x14ac:dyDescent="0.2">
      <c r="A415" s="29"/>
    </row>
    <row r="416" spans="1:1" x14ac:dyDescent="0.2">
      <c r="A416" s="29"/>
    </row>
    <row r="417" spans="1:1" x14ac:dyDescent="0.2">
      <c r="A417" s="29"/>
    </row>
    <row r="418" spans="1:1" x14ac:dyDescent="0.2">
      <c r="A418" s="29"/>
    </row>
    <row r="419" spans="1:1" x14ac:dyDescent="0.2">
      <c r="A419" s="29"/>
    </row>
    <row r="420" spans="1:1" x14ac:dyDescent="0.2">
      <c r="A420" s="29"/>
    </row>
    <row r="421" spans="1:1" x14ac:dyDescent="0.2">
      <c r="A421" s="29"/>
    </row>
    <row r="422" spans="1:1" x14ac:dyDescent="0.2">
      <c r="A422" s="29"/>
    </row>
    <row r="423" spans="1:1" x14ac:dyDescent="0.2">
      <c r="A423" s="29"/>
    </row>
    <row r="424" spans="1:1" x14ac:dyDescent="0.2">
      <c r="A424" s="29"/>
    </row>
    <row r="425" spans="1:1" x14ac:dyDescent="0.2">
      <c r="A425" s="29"/>
    </row>
    <row r="426" spans="1:1" x14ac:dyDescent="0.2">
      <c r="A426" s="29"/>
    </row>
    <row r="427" spans="1:1" x14ac:dyDescent="0.2">
      <c r="A427" s="29"/>
    </row>
    <row r="428" spans="1:1" x14ac:dyDescent="0.2">
      <c r="A428" s="29"/>
    </row>
    <row r="429" spans="1:1" x14ac:dyDescent="0.2">
      <c r="A429" s="29"/>
    </row>
    <row r="430" spans="1:1" x14ac:dyDescent="0.2">
      <c r="A430" s="29"/>
    </row>
    <row r="431" spans="1:1" x14ac:dyDescent="0.2">
      <c r="A431" s="29"/>
    </row>
    <row r="432" spans="1:1" x14ac:dyDescent="0.2">
      <c r="A432" s="29"/>
    </row>
    <row r="433" spans="1:1" x14ac:dyDescent="0.2">
      <c r="A433" s="29"/>
    </row>
    <row r="434" spans="1:1" x14ac:dyDescent="0.2">
      <c r="A434" s="29"/>
    </row>
    <row r="435" spans="1:1" x14ac:dyDescent="0.2">
      <c r="A435" s="29"/>
    </row>
    <row r="436" spans="1:1" x14ac:dyDescent="0.2">
      <c r="A436" s="29"/>
    </row>
    <row r="437" spans="1:1" x14ac:dyDescent="0.2">
      <c r="A437" s="29"/>
    </row>
    <row r="438" spans="1:1" x14ac:dyDescent="0.2">
      <c r="A438" s="29"/>
    </row>
    <row r="439" spans="1:1" x14ac:dyDescent="0.2">
      <c r="A439" s="29"/>
    </row>
    <row r="440" spans="1:1" x14ac:dyDescent="0.2">
      <c r="A440" s="29"/>
    </row>
    <row r="441" spans="1:1" x14ac:dyDescent="0.2">
      <c r="A441" s="29"/>
    </row>
    <row r="442" spans="1:1" x14ac:dyDescent="0.2">
      <c r="A442" s="29"/>
    </row>
    <row r="443" spans="1:1" x14ac:dyDescent="0.2">
      <c r="A443" s="29"/>
    </row>
    <row r="444" spans="1:1" x14ac:dyDescent="0.2">
      <c r="A444" s="29"/>
    </row>
    <row r="445" spans="1:1" x14ac:dyDescent="0.2">
      <c r="A445" s="29"/>
    </row>
    <row r="446" spans="1:1" x14ac:dyDescent="0.2">
      <c r="A446" s="29"/>
    </row>
    <row r="447" spans="1:1" x14ac:dyDescent="0.2">
      <c r="A447" s="29"/>
    </row>
    <row r="448" spans="1:1" x14ac:dyDescent="0.2">
      <c r="A448" s="29"/>
    </row>
    <row r="449" spans="1:1" x14ac:dyDescent="0.2">
      <c r="A449" s="29"/>
    </row>
    <row r="450" spans="1:1" x14ac:dyDescent="0.2">
      <c r="A450" s="29"/>
    </row>
    <row r="451" spans="1:1" x14ac:dyDescent="0.2">
      <c r="A451" s="29"/>
    </row>
    <row r="452" spans="1:1" x14ac:dyDescent="0.2">
      <c r="A452" s="29"/>
    </row>
    <row r="453" spans="1:1" x14ac:dyDescent="0.2">
      <c r="A453" s="29"/>
    </row>
    <row r="454" spans="1:1" x14ac:dyDescent="0.2">
      <c r="A454" s="29"/>
    </row>
    <row r="455" spans="1:1" x14ac:dyDescent="0.2">
      <c r="A455" s="29"/>
    </row>
    <row r="456" spans="1:1" x14ac:dyDescent="0.2">
      <c r="A456" s="29"/>
    </row>
    <row r="457" spans="1:1" x14ac:dyDescent="0.2">
      <c r="A457" s="29"/>
    </row>
    <row r="458" spans="1:1" x14ac:dyDescent="0.2">
      <c r="A458" s="29"/>
    </row>
    <row r="459" spans="1:1" x14ac:dyDescent="0.2">
      <c r="A459" s="29"/>
    </row>
    <row r="460" spans="1:1" x14ac:dyDescent="0.2">
      <c r="A460" s="29"/>
    </row>
    <row r="461" spans="1:1" x14ac:dyDescent="0.2">
      <c r="A461" s="29"/>
    </row>
    <row r="462" spans="1:1" x14ac:dyDescent="0.2">
      <c r="A462" s="29"/>
    </row>
    <row r="463" spans="1:1" x14ac:dyDescent="0.2">
      <c r="A463" s="29"/>
    </row>
    <row r="464" spans="1:1" x14ac:dyDescent="0.2">
      <c r="A464" s="29"/>
    </row>
    <row r="465" spans="1:1" x14ac:dyDescent="0.2">
      <c r="A465" s="29"/>
    </row>
    <row r="466" spans="1:1" x14ac:dyDescent="0.2">
      <c r="A466" s="29"/>
    </row>
    <row r="467" spans="1:1" x14ac:dyDescent="0.2">
      <c r="A467" s="29"/>
    </row>
    <row r="468" spans="1:1" x14ac:dyDescent="0.2">
      <c r="A468" s="29"/>
    </row>
    <row r="469" spans="1:1" x14ac:dyDescent="0.2">
      <c r="A469" s="29"/>
    </row>
    <row r="470" spans="1:1" x14ac:dyDescent="0.2">
      <c r="A470" s="29"/>
    </row>
    <row r="471" spans="1:1" x14ac:dyDescent="0.2">
      <c r="A471" s="29"/>
    </row>
    <row r="472" spans="1:1" x14ac:dyDescent="0.2">
      <c r="A472" s="29"/>
    </row>
    <row r="473" spans="1:1" x14ac:dyDescent="0.2">
      <c r="A473" s="29"/>
    </row>
    <row r="474" spans="1:1" x14ac:dyDescent="0.2">
      <c r="A474" s="29"/>
    </row>
    <row r="475" spans="1:1" x14ac:dyDescent="0.2">
      <c r="A475" s="29"/>
    </row>
    <row r="476" spans="1:1" x14ac:dyDescent="0.2">
      <c r="A476" s="29"/>
    </row>
    <row r="477" spans="1:1" x14ac:dyDescent="0.2">
      <c r="A477" s="29"/>
    </row>
    <row r="478" spans="1:1" x14ac:dyDescent="0.2">
      <c r="A478" s="29"/>
    </row>
    <row r="479" spans="1:1" x14ac:dyDescent="0.2">
      <c r="A479" s="29"/>
    </row>
    <row r="480" spans="1:1" x14ac:dyDescent="0.2">
      <c r="A480" s="29"/>
    </row>
    <row r="481" spans="1:1" x14ac:dyDescent="0.2">
      <c r="A481" s="29"/>
    </row>
    <row r="482" spans="1:1" x14ac:dyDescent="0.2">
      <c r="A482" s="29"/>
    </row>
    <row r="483" spans="1:1" x14ac:dyDescent="0.2">
      <c r="A483" s="29"/>
    </row>
    <row r="484" spans="1:1" x14ac:dyDescent="0.2">
      <c r="A484" s="29"/>
    </row>
    <row r="485" spans="1:1" x14ac:dyDescent="0.2">
      <c r="A485" s="29"/>
    </row>
    <row r="486" spans="1:1" x14ac:dyDescent="0.2">
      <c r="A486" s="29"/>
    </row>
    <row r="487" spans="1:1" x14ac:dyDescent="0.2">
      <c r="A487" s="29"/>
    </row>
    <row r="488" spans="1:1" x14ac:dyDescent="0.2">
      <c r="A488" s="29"/>
    </row>
    <row r="489" spans="1:1" x14ac:dyDescent="0.2">
      <c r="A489" s="29"/>
    </row>
    <row r="490" spans="1:1" x14ac:dyDescent="0.2">
      <c r="A490" s="29"/>
    </row>
    <row r="491" spans="1:1" x14ac:dyDescent="0.2">
      <c r="A491" s="29"/>
    </row>
    <row r="492" spans="1:1" x14ac:dyDescent="0.2">
      <c r="A492" s="29"/>
    </row>
    <row r="493" spans="1:1" x14ac:dyDescent="0.2">
      <c r="A493" s="29"/>
    </row>
    <row r="494" spans="1:1" x14ac:dyDescent="0.2">
      <c r="A494" s="29"/>
    </row>
    <row r="495" spans="1:1" x14ac:dyDescent="0.2">
      <c r="A495" s="29"/>
    </row>
    <row r="496" spans="1:1" x14ac:dyDescent="0.2">
      <c r="A496" s="29"/>
    </row>
    <row r="497" spans="1:14" x14ac:dyDescent="0.2">
      <c r="A497" s="29"/>
    </row>
    <row r="498" spans="1:14" x14ac:dyDescent="0.2">
      <c r="A498" s="29"/>
    </row>
    <row r="499" spans="1:14" x14ac:dyDescent="0.2">
      <c r="A499" s="29"/>
    </row>
    <row r="500" spans="1:14" x14ac:dyDescent="0.2">
      <c r="A500" s="29"/>
    </row>
    <row r="501" spans="1:14" x14ac:dyDescent="0.2">
      <c r="A501" s="29"/>
    </row>
    <row r="502" spans="1:14" x14ac:dyDescent="0.2">
      <c r="A502" s="29"/>
    </row>
    <row r="503" spans="1:14" x14ac:dyDescent="0.2">
      <c r="A503" s="29"/>
    </row>
    <row r="504" spans="1:14" x14ac:dyDescent="0.2">
      <c r="A504" s="29"/>
    </row>
    <row r="505" spans="1:14" x14ac:dyDescent="0.2">
      <c r="A505" s="29"/>
    </row>
    <row r="506" spans="1:14" x14ac:dyDescent="0.2">
      <c r="A506" s="29"/>
    </row>
    <row r="507" spans="1:14" x14ac:dyDescent="0.2">
      <c r="A507" s="29"/>
    </row>
    <row r="508" spans="1:14" x14ac:dyDescent="0.2">
      <c r="A508" s="29"/>
    </row>
    <row r="509" spans="1:14" x14ac:dyDescent="0.2">
      <c r="A509" s="29"/>
    </row>
    <row r="510" spans="1:14" x14ac:dyDescent="0.2">
      <c r="A510" s="29"/>
      <c r="B510" s="2"/>
      <c r="C510" s="10"/>
      <c r="D510" s="2"/>
      <c r="E510" s="21"/>
      <c r="F510" s="2" t="s">
        <v>13</v>
      </c>
      <c r="G510" s="10" t="s">
        <v>13</v>
      </c>
      <c r="H510" s="6" t="s">
        <v>13</v>
      </c>
      <c r="I510" s="10"/>
      <c r="J510" s="2" t="s">
        <v>13</v>
      </c>
      <c r="K510" s="22" t="s">
        <v>13</v>
      </c>
      <c r="L510" s="10" t="s">
        <v>13</v>
      </c>
      <c r="M510" s="6" t="s">
        <v>13</v>
      </c>
      <c r="N510" s="21" t="s">
        <v>13</v>
      </c>
    </row>
    <row r="511" spans="1:14" x14ac:dyDescent="0.2">
      <c r="A511" s="29"/>
    </row>
    <row r="512" spans="1:14" x14ac:dyDescent="0.2">
      <c r="A512" s="29"/>
    </row>
    <row r="513" spans="1:1" x14ac:dyDescent="0.2">
      <c r="A513" s="29"/>
    </row>
    <row r="514" spans="1:1" x14ac:dyDescent="0.2">
      <c r="A514" s="29"/>
    </row>
    <row r="515" spans="1:1" x14ac:dyDescent="0.2">
      <c r="A515" s="29"/>
    </row>
    <row r="516" spans="1:1" x14ac:dyDescent="0.2">
      <c r="A516" s="29"/>
    </row>
    <row r="517" spans="1:1" x14ac:dyDescent="0.2">
      <c r="A517" s="29"/>
    </row>
    <row r="518" spans="1:1" x14ac:dyDescent="0.2">
      <c r="A518" s="29"/>
    </row>
    <row r="519" spans="1:1" x14ac:dyDescent="0.2">
      <c r="A519" s="29"/>
    </row>
    <row r="520" spans="1:1" x14ac:dyDescent="0.2">
      <c r="A520" s="29"/>
    </row>
    <row r="521" spans="1:1" x14ac:dyDescent="0.2">
      <c r="A521" s="29"/>
    </row>
    <row r="522" spans="1:1" x14ac:dyDescent="0.2">
      <c r="A522" s="29"/>
    </row>
    <row r="523" spans="1:1" x14ac:dyDescent="0.2">
      <c r="A523" s="29"/>
    </row>
    <row r="524" spans="1:1" x14ac:dyDescent="0.2">
      <c r="A524" s="29"/>
    </row>
    <row r="525" spans="1:1" x14ac:dyDescent="0.2">
      <c r="A525" s="29"/>
    </row>
    <row r="526" spans="1:1" x14ac:dyDescent="0.2">
      <c r="A526" s="29"/>
    </row>
    <row r="527" spans="1:1" x14ac:dyDescent="0.2">
      <c r="A527" s="29"/>
    </row>
    <row r="528" spans="1:1" x14ac:dyDescent="0.2">
      <c r="A528" s="29"/>
    </row>
    <row r="529" spans="1:1" x14ac:dyDescent="0.2">
      <c r="A529" s="29"/>
    </row>
    <row r="530" spans="1:1" x14ac:dyDescent="0.2">
      <c r="A530" s="29"/>
    </row>
    <row r="531" spans="1:1" x14ac:dyDescent="0.2">
      <c r="A531" s="29"/>
    </row>
    <row r="532" spans="1:1" x14ac:dyDescent="0.2">
      <c r="A532" s="29"/>
    </row>
    <row r="533" spans="1:1" x14ac:dyDescent="0.2">
      <c r="A533" s="29"/>
    </row>
    <row r="534" spans="1:1" x14ac:dyDescent="0.2">
      <c r="A534" s="29"/>
    </row>
    <row r="535" spans="1:1" x14ac:dyDescent="0.2">
      <c r="A535" s="29"/>
    </row>
    <row r="536" spans="1:1" x14ac:dyDescent="0.2">
      <c r="A536" s="29"/>
    </row>
    <row r="537" spans="1:1" x14ac:dyDescent="0.2">
      <c r="A537" s="29"/>
    </row>
    <row r="538" spans="1:1" x14ac:dyDescent="0.2">
      <c r="A538" s="29"/>
    </row>
    <row r="539" spans="1:1" x14ac:dyDescent="0.2">
      <c r="A539" s="29"/>
    </row>
    <row r="540" spans="1:1" x14ac:dyDescent="0.2">
      <c r="A540" s="29"/>
    </row>
    <row r="541" spans="1:1" x14ac:dyDescent="0.2">
      <c r="A541" s="29"/>
    </row>
    <row r="542" spans="1:1" x14ac:dyDescent="0.2">
      <c r="A542" s="29"/>
    </row>
    <row r="543" spans="1:1" x14ac:dyDescent="0.2">
      <c r="A543" s="29"/>
    </row>
    <row r="544" spans="1:1" x14ac:dyDescent="0.2">
      <c r="A544" s="29"/>
    </row>
    <row r="545" spans="1:1" x14ac:dyDescent="0.2">
      <c r="A545" s="29"/>
    </row>
    <row r="546" spans="1:1" x14ac:dyDescent="0.2">
      <c r="A546" s="29"/>
    </row>
    <row r="547" spans="1:1" x14ac:dyDescent="0.2">
      <c r="A547" s="29"/>
    </row>
    <row r="548" spans="1:1" x14ac:dyDescent="0.2">
      <c r="A548" s="29"/>
    </row>
    <row r="549" spans="1:1" x14ac:dyDescent="0.2">
      <c r="A549" s="29"/>
    </row>
    <row r="550" spans="1:1" x14ac:dyDescent="0.2">
      <c r="A550" s="29"/>
    </row>
    <row r="551" spans="1:1" x14ac:dyDescent="0.2">
      <c r="A551" s="29"/>
    </row>
    <row r="552" spans="1:1" x14ac:dyDescent="0.2">
      <c r="A552" s="29"/>
    </row>
    <row r="553" spans="1:1" x14ac:dyDescent="0.2">
      <c r="A553" s="29"/>
    </row>
    <row r="554" spans="1:1" x14ac:dyDescent="0.2">
      <c r="A554" s="29"/>
    </row>
    <row r="555" spans="1:1" x14ac:dyDescent="0.2">
      <c r="A555" s="29"/>
    </row>
    <row r="556" spans="1:1" x14ac:dyDescent="0.2">
      <c r="A556" s="29"/>
    </row>
    <row r="557" spans="1:1" x14ac:dyDescent="0.2">
      <c r="A557" s="29"/>
    </row>
    <row r="558" spans="1:1" x14ac:dyDescent="0.2">
      <c r="A558" s="29"/>
    </row>
  </sheetData>
  <sortState ref="A7:L500">
    <sortCondition ref="L7"/>
    <sortCondition ref="A7"/>
  </sortState>
  <mergeCells count="1">
    <mergeCell ref="A2:B2"/>
  </mergeCells>
  <phoneticPr fontId="2" type="noConversion"/>
  <conditionalFormatting sqref="A99:A558 A63:N227 A8:N13 I14:N56 H14:H60 A14:G56">
    <cfRule type="expression" dxfId="8" priority="124" stopIfTrue="1">
      <formula>AND($F8&lt;&gt;"ok",$F8&lt;&gt;"na",$G8&lt;&gt;"",$L8="")</formula>
    </cfRule>
    <cfRule type="expression" dxfId="7" priority="126" stopIfTrue="1">
      <formula>AND($F8="na")</formula>
    </cfRule>
  </conditionalFormatting>
  <conditionalFormatting sqref="A510:N510">
    <cfRule type="expression" dxfId="6" priority="16" stopIfTrue="1">
      <formula>AND($F510&lt;&gt;"ok",$F510&lt;&gt;"na",$G510&lt;&gt;"",$L510="")</formula>
    </cfRule>
    <cfRule type="expression" dxfId="5" priority="17" stopIfTrue="1">
      <formula>AND(MID($A510,4,4)=".000")</formula>
    </cfRule>
    <cfRule type="expression" dxfId="4" priority="18" stopIfTrue="1">
      <formula>AND($F510="na")</formula>
    </cfRule>
  </conditionalFormatting>
  <conditionalFormatting sqref="A63:N510 A8:N13 I14:N56 H14:H60 A14:G56">
    <cfRule type="expression" dxfId="3" priority="125" stopIfTrue="1">
      <formula>AND(INT($A8/1000)=$A8/1000,$A8&lt;&gt;"")</formula>
    </cfRule>
  </conditionalFormatting>
  <conditionalFormatting sqref="A61:N62 A57:G60 I57:N60">
    <cfRule type="expression" dxfId="2" priority="1" stopIfTrue="1">
      <formula>AND($F57&lt;&gt;"ok",$F57&lt;&gt;"na",$G57&lt;&gt;"",$L57="")</formula>
    </cfRule>
    <cfRule type="expression" dxfId="1" priority="3" stopIfTrue="1">
      <formula>AND($F57="na")</formula>
    </cfRule>
  </conditionalFormatting>
  <conditionalFormatting sqref="A61:N62 A57:G60 I57:N60">
    <cfRule type="expression" dxfId="0" priority="2" stopIfTrue="1">
      <formula>AND(INT($A57/1000)=$A57/1000,$A57&lt;&gt;"")</formula>
    </cfRule>
  </conditionalFormatting>
  <printOptions gridLines="1"/>
  <pageMargins left="0.39370078740157483" right="0.39370078740157483" top="0.39370078740157483" bottom="0.39370078740157483" header="0.51181102362204722" footer="0.19685039370078741"/>
  <pageSetup scale="56" fitToHeight="21" orientation="portrait" horizontalDpi="1200" verticalDpi="1200" r:id="rId1"/>
  <headerFooter alignWithMargins="0">
    <oddFooter>&amp;L&amp;D&amp;C&amp;F&amp;RPage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DateTestJour">
                <anchor moveWithCells="1" sizeWithCells="1">
                  <from>
                    <xdr:col>7</xdr:col>
                    <xdr:colOff>38100</xdr:colOff>
                    <xdr:row>6</xdr:row>
                    <xdr:rowOff>57150</xdr:rowOff>
                  </from>
                  <to>
                    <xdr:col>7</xdr:col>
                    <xdr:colOff>800100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DateCorrectionJour">
                <anchor moveWithCells="1" sizeWithCells="1">
                  <from>
                    <xdr:col>12</xdr:col>
                    <xdr:colOff>38100</xdr:colOff>
                    <xdr:row>6</xdr:row>
                    <xdr:rowOff>304800</xdr:rowOff>
                  </from>
                  <to>
                    <xdr:col>12</xdr:col>
                    <xdr:colOff>800100</xdr:colOff>
                    <xdr:row>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CacherOK">
                <anchor moveWithCells="1" sizeWithCells="1">
                  <from>
                    <xdr:col>5</xdr:col>
                    <xdr:colOff>28575</xdr:colOff>
                    <xdr:row>6</xdr:row>
                    <xdr:rowOff>57150</xdr:rowOff>
                  </from>
                  <to>
                    <xdr:col>5</xdr:col>
                    <xdr:colOff>790575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AfficherTout">
                <anchor moveWithCells="1" sizeWithCells="1">
                  <from>
                    <xdr:col>5</xdr:col>
                    <xdr:colOff>819150</xdr:colOff>
                    <xdr:row>6</xdr:row>
                    <xdr:rowOff>57150</xdr:rowOff>
                  </from>
                  <to>
                    <xdr:col>5</xdr:col>
                    <xdr:colOff>1581150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TrierCas">
                <anchor moveWithCells="1" sizeWithCells="1">
                  <from>
                    <xdr:col>0</xdr:col>
                    <xdr:colOff>38100</xdr:colOff>
                    <xdr:row>6</xdr:row>
                    <xdr:rowOff>57150</xdr:rowOff>
                  </from>
                  <to>
                    <xdr:col>0</xdr:col>
                    <xdr:colOff>476250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TrierGravite">
                <anchor moveWithCells="1" sizeWithCells="1">
                  <from>
                    <xdr:col>9</xdr:col>
                    <xdr:colOff>38100</xdr:colOff>
                    <xdr:row>6</xdr:row>
                    <xdr:rowOff>57150</xdr:rowOff>
                  </from>
                  <to>
                    <xdr:col>9</xdr:col>
                    <xdr:colOff>457200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TrierCorrection">
                <anchor moveWithCells="1" sizeWithCells="1">
                  <from>
                    <xdr:col>12</xdr:col>
                    <xdr:colOff>38100</xdr:colOff>
                    <xdr:row>6</xdr:row>
                    <xdr:rowOff>57150</xdr:rowOff>
                  </from>
                  <to>
                    <xdr:col>12</xdr:col>
                    <xdr:colOff>800100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TrierProgInt">
                <anchor moveWithCells="1" sizeWithCells="1">
                  <from>
                    <xdr:col>10</xdr:col>
                    <xdr:colOff>38100</xdr:colOff>
                    <xdr:row>6</xdr:row>
                    <xdr:rowOff>57150</xdr:rowOff>
                  </from>
                  <to>
                    <xdr:col>10</xdr:col>
                    <xdr:colOff>400050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B38"/>
  <sheetViews>
    <sheetView topLeftCell="A13" workbookViewId="0">
      <selection activeCell="G21" sqref="G21"/>
    </sheetView>
  </sheetViews>
  <sheetFormatPr baseColWidth="10" defaultRowHeight="12.75" x14ac:dyDescent="0.2"/>
  <cols>
    <col min="1" max="1" width="4.7109375" customWidth="1"/>
  </cols>
  <sheetData>
    <row r="1" spans="1:2" ht="15.75" x14ac:dyDescent="0.25">
      <c r="A1" s="24" t="s">
        <v>19</v>
      </c>
    </row>
    <row r="3" spans="1:2" x14ac:dyDescent="0.2">
      <c r="A3" s="26" t="s">
        <v>20</v>
      </c>
      <c r="B3" s="26" t="s">
        <v>69</v>
      </c>
    </row>
    <row r="4" spans="1:2" x14ac:dyDescent="0.2">
      <c r="A4" s="26"/>
      <c r="B4" s="26" t="s">
        <v>72</v>
      </c>
    </row>
    <row r="5" spans="1:2" x14ac:dyDescent="0.2">
      <c r="A5" s="26"/>
      <c r="B5" s="26" t="s">
        <v>73</v>
      </c>
    </row>
    <row r="6" spans="1:2" x14ac:dyDescent="0.2">
      <c r="A6" s="26"/>
      <c r="B6" s="26" t="s">
        <v>70</v>
      </c>
    </row>
    <row r="7" spans="1:2" x14ac:dyDescent="0.2">
      <c r="A7" s="26"/>
      <c r="B7" s="26" t="s">
        <v>71</v>
      </c>
    </row>
    <row r="9" spans="1:2" x14ac:dyDescent="0.2">
      <c r="A9" s="26" t="s">
        <v>21</v>
      </c>
      <c r="B9" s="26" t="s">
        <v>67</v>
      </c>
    </row>
    <row r="10" spans="1:2" x14ac:dyDescent="0.2">
      <c r="A10" s="26"/>
      <c r="B10" s="26" t="s">
        <v>88</v>
      </c>
    </row>
    <row r="11" spans="1:2" x14ac:dyDescent="0.2">
      <c r="A11" s="26"/>
      <c r="B11" s="43" t="s">
        <v>89</v>
      </c>
    </row>
    <row r="12" spans="1:2" x14ac:dyDescent="0.2">
      <c r="A12" s="26"/>
      <c r="B12" s="43" t="s">
        <v>90</v>
      </c>
    </row>
    <row r="13" spans="1:2" x14ac:dyDescent="0.2">
      <c r="A13" s="26"/>
      <c r="B13" s="26" t="s">
        <v>68</v>
      </c>
    </row>
    <row r="14" spans="1:2" x14ac:dyDescent="0.2">
      <c r="A14" s="26"/>
      <c r="B14" s="26" t="s">
        <v>75</v>
      </c>
    </row>
    <row r="15" spans="1:2" x14ac:dyDescent="0.2">
      <c r="A15" s="26"/>
      <c r="B15" s="26" t="s">
        <v>29</v>
      </c>
    </row>
    <row r="16" spans="1:2" x14ac:dyDescent="0.2">
      <c r="A16" s="26"/>
      <c r="B16" s="26" t="s">
        <v>74</v>
      </c>
    </row>
    <row r="17" spans="1:2" x14ac:dyDescent="0.2">
      <c r="A17" s="26"/>
      <c r="B17" s="26"/>
    </row>
    <row r="18" spans="1:2" x14ac:dyDescent="0.2">
      <c r="A18" s="26" t="s">
        <v>22</v>
      </c>
      <c r="B18" s="26" t="s">
        <v>24</v>
      </c>
    </row>
    <row r="19" spans="1:2" x14ac:dyDescent="0.2">
      <c r="A19" s="26"/>
      <c r="B19" s="26" t="s">
        <v>76</v>
      </c>
    </row>
    <row r="20" spans="1:2" x14ac:dyDescent="0.2">
      <c r="A20" s="26"/>
      <c r="B20" s="26" t="s">
        <v>25</v>
      </c>
    </row>
    <row r="21" spans="1:2" x14ac:dyDescent="0.2">
      <c r="A21" s="26"/>
      <c r="B21" s="26"/>
    </row>
    <row r="22" spans="1:2" x14ac:dyDescent="0.2">
      <c r="A22" s="26" t="s">
        <v>27</v>
      </c>
      <c r="B22" s="26" t="s">
        <v>23</v>
      </c>
    </row>
    <row r="23" spans="1:2" x14ac:dyDescent="0.2">
      <c r="B23" s="26" t="s">
        <v>77</v>
      </c>
    </row>
    <row r="24" spans="1:2" x14ac:dyDescent="0.2">
      <c r="B24" s="26" t="s">
        <v>78</v>
      </c>
    </row>
    <row r="25" spans="1:2" x14ac:dyDescent="0.2">
      <c r="B25" s="26" t="s">
        <v>28</v>
      </c>
    </row>
    <row r="26" spans="1:2" x14ac:dyDescent="0.2">
      <c r="B26" s="26" t="s">
        <v>79</v>
      </c>
    </row>
    <row r="27" spans="1:2" x14ac:dyDescent="0.2">
      <c r="B27" s="26" t="s">
        <v>80</v>
      </c>
    </row>
    <row r="28" spans="1:2" x14ac:dyDescent="0.2">
      <c r="B28" s="26" t="s">
        <v>87</v>
      </c>
    </row>
    <row r="29" spans="1:2" x14ac:dyDescent="0.2">
      <c r="B29" s="26" t="s">
        <v>85</v>
      </c>
    </row>
    <row r="30" spans="1:2" x14ac:dyDescent="0.2">
      <c r="B30" s="26" t="s">
        <v>86</v>
      </c>
    </row>
    <row r="31" spans="1:2" x14ac:dyDescent="0.2">
      <c r="B31" s="26" t="s">
        <v>30</v>
      </c>
    </row>
    <row r="32" spans="1:2" x14ac:dyDescent="0.2">
      <c r="B32" s="26" t="s">
        <v>26</v>
      </c>
    </row>
    <row r="34" spans="1:2" x14ac:dyDescent="0.2">
      <c r="A34" s="26" t="s">
        <v>62</v>
      </c>
      <c r="B34" s="26" t="s">
        <v>31</v>
      </c>
    </row>
    <row r="35" spans="1:2" x14ac:dyDescent="0.2">
      <c r="A35" s="26"/>
      <c r="B35" s="26" t="s">
        <v>81</v>
      </c>
    </row>
    <row r="36" spans="1:2" x14ac:dyDescent="0.2">
      <c r="B36" s="26" t="s">
        <v>82</v>
      </c>
    </row>
    <row r="37" spans="1:2" x14ac:dyDescent="0.2">
      <c r="B37" s="26" t="s">
        <v>83</v>
      </c>
    </row>
    <row r="38" spans="1:2" x14ac:dyDescent="0.2">
      <c r="B38" t="s"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Cas</vt:lpstr>
      <vt:lpstr>Instructions</vt:lpstr>
      <vt:lpstr>Date_correction</vt:lpstr>
      <vt:lpstr>Date_test</vt:lpstr>
      <vt:lpstr>Debut_effacer</vt:lpstr>
    </vt:vector>
  </TitlesOfParts>
  <Company>Vertisoft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clagace</dc:creator>
  <cp:lastModifiedBy>Antony</cp:lastModifiedBy>
  <cp:lastPrinted>2009-03-21T16:40:21Z</cp:lastPrinted>
  <dcterms:created xsi:type="dcterms:W3CDTF">2008-03-13T20:04:11Z</dcterms:created>
  <dcterms:modified xsi:type="dcterms:W3CDTF">2015-10-25T23:52:50Z</dcterms:modified>
</cp:coreProperties>
</file>